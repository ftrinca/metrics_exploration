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Metrics" sheetId="1" state="visible" r:id="rId3"/>
    <sheet name="Imputation Metrics Properties" sheetId="2" state="visible" r:id="rId4"/>
    <sheet name="Scoring" sheetId="3" state="visible" r:id="rId5"/>
    <sheet name="Final Rank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<sst xmlns="http://schemas.openxmlformats.org/spreadsheetml/2006/main" count="1085" uniqueCount="278">
  <si>
    <t xml:space="preserve">List of all metrics that have been mentioned in a total of 65 papers: 11 metric-analysis papers and 54 imputation algorithm papers. This list contains all metrics, regardless of the type of usage in the paper. The metrics are already sorted by category.</t>
  </si>
  <si>
    <t xml:space="preserve">Metric</t>
  </si>
  <si>
    <t xml:space="preserve">Full Name</t>
  </si>
  <si>
    <t xml:space="preserve">Category</t>
  </si>
  <si>
    <t xml:space="preserve">Papers  (all: IMP = imputation quality)</t>
  </si>
  <si>
    <t xml:space="preserve">Algorithms</t>
  </si>
  <si>
    <t xml:space="preserve">Name</t>
  </si>
  <si>
    <t xml:space="preserve">Description</t>
  </si>
  <si>
    <t xml:space="preserve">P1
Khayati et al. 2020</t>
  </si>
  <si>
    <t xml:space="preserve">P2
Nater &amp; Khayati 2026</t>
  </si>
  <si>
    <t xml:space="preserve">P3
Wang et al. 2025</t>
  </si>
  <si>
    <t xml:space="preserve">P4
Richter et al. 2024</t>
  </si>
  <si>
    <t xml:space="preserve">P5
Poette et al. 2026</t>
  </si>
  <si>
    <t xml:space="preserve">P6
Adhikari et al. 2022</t>
  </si>
  <si>
    <t xml:space="preserve">N1
Farjallah et al. 2025</t>
  </si>
  <si>
    <t xml:space="preserve">N2
Huang et al. 2024</t>
  </si>
  <si>
    <t xml:space="preserve">N3
Boursalie et al. 2022</t>
  </si>
  <si>
    <t xml:space="preserve">N4
Díaz-González et al. 2025</t>
  </si>
  <si>
    <t xml:space="preserve">N5
Dolatpour Fathkouhi et al. 2026</t>
  </si>
  <si>
    <t xml:space="preserve">GPT4TS</t>
  </si>
  <si>
    <t xml:space="preserve">MOMENT</t>
  </si>
  <si>
    <t xml:space="preserve">NuwaTS</t>
  </si>
  <si>
    <t xml:space="preserve">Timer</t>
  </si>
  <si>
    <t xml:space="preserve">UniTS</t>
  </si>
  <si>
    <t xml:space="preserve">MissNet</t>
  </si>
  <si>
    <t xml:space="preserve">MPIN</t>
  </si>
  <si>
    <t xml:space="preserve">BitGraph</t>
  </si>
  <si>
    <t xml:space="preserve">BayOTIDE</t>
  </si>
  <si>
    <t xml:space="preserve">TimesNet</t>
  </si>
  <si>
    <t xml:space="preserve">SAITS</t>
  </si>
  <si>
    <t xml:space="preserve">PRISTI</t>
  </si>
  <si>
    <t xml:space="preserve">GRIN</t>
  </si>
  <si>
    <t xml:space="preserve">CSDI</t>
  </si>
  <si>
    <t xml:space="preserve">DeepMVI</t>
  </si>
  <si>
    <t xml:space="preserve">HKMF-T</t>
  </si>
  <si>
    <t xml:space="preserve">SSGAN</t>
  </si>
  <si>
    <t xml:space="preserve">GP-VAE</t>
  </si>
  <si>
    <t xml:space="preserve">NAOMI</t>
  </si>
  <si>
    <t xml:space="preserve">MRNN</t>
  </si>
  <si>
    <t xml:space="preserve">BRITS</t>
  </si>
  <si>
    <t xml:space="preserve">GAIN</t>
  </si>
  <si>
    <t xml:space="preserve">WGAN</t>
  </si>
  <si>
    <t xml:space="preserve">E²GAN</t>
  </si>
  <si>
    <t xml:space="preserve">SSSD</t>
  </si>
  <si>
    <t xml:space="preserve">MTSIT</t>
  </si>
  <si>
    <t xml:space="preserve">TIDER</t>
  </si>
  <si>
    <t xml:space="preserve">PoGeVon</t>
  </si>
  <si>
    <t xml:space="preserve">CSBI</t>
  </si>
  <si>
    <t xml:space="preserve">TimeCIB</t>
  </si>
  <si>
    <t xml:space="preserve">FGTI</t>
  </si>
  <si>
    <t xml:space="preserve">CATSI</t>
  </si>
  <si>
    <t xml:space="preserve">CSAI</t>
  </si>
  <si>
    <t xml:space="preserve">SST-GCN</t>
  </si>
  <si>
    <t xml:space="preserve">FIM-ℓ</t>
  </si>
  <si>
    <t xml:space="preserve">ReCTSi</t>
  </si>
  <si>
    <t xml:space="preserve">SSD-TS</t>
  </si>
  <si>
    <t xml:space="preserve">LSCD</t>
  </si>
  <si>
    <t xml:space="preserve">DMM</t>
  </si>
  <si>
    <t xml:space="preserve">CDRec</t>
  </si>
  <si>
    <t xml:space="preserve">TRMF</t>
  </si>
  <si>
    <t xml:space="preserve">GROUSE</t>
  </si>
  <si>
    <t xml:space="preserve">ROSL</t>
  </si>
  <si>
    <t xml:space="preserve">SoftImpute</t>
  </si>
  <si>
    <t xml:space="preserve">SVT</t>
  </si>
  <si>
    <t xml:space="preserve">SPIRIT</t>
  </si>
  <si>
    <t xml:space="preserve">IterativeSVD</t>
  </si>
  <si>
    <t xml:space="preserve">TKCM</t>
  </si>
  <si>
    <t xml:space="preserve">STMVL</t>
  </si>
  <si>
    <t xml:space="preserve">DynaMMo</t>
  </si>
  <si>
    <t xml:space="preserve">IIM</t>
  </si>
  <si>
    <t xml:space="preserve">XGBoost</t>
  </si>
  <si>
    <t xml:space="preserve">MICE</t>
  </si>
  <si>
    <t xml:space="preserve">MissForest</t>
  </si>
  <si>
    <t xml:space="preserve">MAE</t>
  </si>
  <si>
    <t xml:space="preserve">Mean Absolute Error</t>
  </si>
  <si>
    <t xml:space="preserve">Pointwise Distance</t>
  </si>
  <si>
    <t xml:space="preserve">How large are the individual errors?</t>
  </si>
  <si>
    <t xml:space="preserve">IMP</t>
  </si>
  <si>
    <t xml:space="preserve">IMP + FOR</t>
  </si>
  <si>
    <t xml:space="preserve">FOR</t>
  </si>
  <si>
    <t xml:space="preserve">MOD + IMP</t>
  </si>
  <si>
    <t xml:space="preserve">TRAIN + FOR</t>
  </si>
  <si>
    <t xml:space="preserve">TRAIN + IMP</t>
  </si>
  <si>
    <t xml:space="preserve">RMSE</t>
  </si>
  <si>
    <t xml:space="preserve">Root Mean Squared Error</t>
  </si>
  <si>
    <t xml:space="preserve">MSE</t>
  </si>
  <si>
    <t xml:space="preserve">Mean Squared Error</t>
  </si>
  <si>
    <t xml:space="preserve">TRAIN + IMP + FOR</t>
  </si>
  <si>
    <t xml:space="preserve">TRAIN</t>
  </si>
  <si>
    <t xml:space="preserve">MRE</t>
  </si>
  <si>
    <t xml:space="preserve">Mean Relative Error</t>
  </si>
  <si>
    <t xml:space="preserve">MAPE</t>
  </si>
  <si>
    <t xml:space="preserve">Mean Absolute Percentage Error</t>
  </si>
  <si>
    <t xml:space="preserve">SMAPE</t>
  </si>
  <si>
    <t xml:space="preserve">Symmetric Mean Abs. Percentage Error</t>
  </si>
  <si>
    <t xml:space="preserve">MASE</t>
  </si>
  <si>
    <t xml:space="preserve">Mean Absolute Scaled Error</t>
  </si>
  <si>
    <t xml:space="preserve">OWA</t>
  </si>
  <si>
    <t xml:space="preserve">Overall Weighted Average</t>
  </si>
  <si>
    <t xml:space="preserve">MSD</t>
  </si>
  <si>
    <t xml:space="preserve">Mean Signed Deviation</t>
  </si>
  <si>
    <t xml:space="preserve">nRMSE</t>
  </si>
  <si>
    <t xml:space="preserve">Normalized RMSE</t>
  </si>
  <si>
    <t xml:space="preserve">ND</t>
  </si>
  <si>
    <t xml:space="preserve">Normalized Deviation</t>
  </si>
  <si>
    <t xml:space="preserve">WD</t>
  </si>
  <si>
    <t xml:space="preserve">Wasserstein Distance / EMD</t>
  </si>
  <si>
    <t xml:space="preserve">Distributional Divergence</t>
  </si>
  <si>
    <t xml:space="preserve">Does imputation preserve the data's distribution?</t>
  </si>
  <si>
    <t xml:space="preserve">JSD</t>
  </si>
  <si>
    <t xml:space="preserve">Jensen-Shannon Divergence</t>
  </si>
  <si>
    <t xml:space="preserve">KLD</t>
  </si>
  <si>
    <t xml:space="preserve">KL Divergence</t>
  </si>
  <si>
    <t xml:space="preserve">CRPS</t>
  </si>
  <si>
    <t xml:space="preserve">Continuous Ranked Probability Score</t>
  </si>
  <si>
    <t xml:space="preserve">Probabilistic</t>
  </si>
  <si>
    <t xml:space="preserve">Is the uncertainty in probabilistic imputations well-calibrated?</t>
  </si>
  <si>
    <t xml:space="preserve">NLL/K</t>
  </si>
  <si>
    <t xml:space="preserve">Negative Log-Likelihood (K)</t>
  </si>
  <si>
    <t xml:space="preserve">ACF</t>
  </si>
  <si>
    <t xml:space="preserve">Autocorrelation Function</t>
  </si>
  <si>
    <t xml:space="preserve">Temporal Structure</t>
  </si>
  <si>
    <t xml:space="preserve">Does imputation preserve temporal patterns and autocorrelation?</t>
  </si>
  <si>
    <t xml:space="preserve">DTW</t>
  </si>
  <si>
    <t xml:space="preserve">Dynamic Time Warping</t>
  </si>
  <si>
    <t xml:space="preserve">S-MAE</t>
  </si>
  <si>
    <t xml:space="preserve">Scaled MAE</t>
  </si>
  <si>
    <t xml:space="preserve">Pearson</t>
  </si>
  <si>
    <t xml:space="preserve">Pearson Correlation</t>
  </si>
  <si>
    <t xml:space="preserve">Statistical Agreement</t>
  </si>
  <si>
    <t xml:space="preserve">Are the two sets of values statistically equivalent?</t>
  </si>
  <si>
    <t xml:space="preserve">MI</t>
  </si>
  <si>
    <t xml:space="preserve">Mutual Information</t>
  </si>
  <si>
    <t xml:space="preserve">R²</t>
  </si>
  <si>
    <t xml:space="preserve">Coefficient of Determination</t>
  </si>
  <si>
    <t xml:space="preserve">TOST</t>
  </si>
  <si>
    <t xml:space="preserve">Two One-Sided Tests</t>
  </si>
  <si>
    <t xml:space="preserve">CDT</t>
  </si>
  <si>
    <t xml:space="preserve">Cohen's Distance Test</t>
  </si>
  <si>
    <t xml:space="preserve">B-A</t>
  </si>
  <si>
    <t xml:space="preserve">Bland-Altman Analysis</t>
  </si>
  <si>
    <t xml:space="preserve">Accuracy</t>
  </si>
  <si>
    <t xml:space="preserve">Classification/Detection</t>
  </si>
  <si>
    <t xml:space="preserve">Does the imputation preserve categorical or anomaly structure?</t>
  </si>
  <si>
    <t xml:space="preserve">CLA</t>
  </si>
  <si>
    <t xml:space="preserve">F1-score</t>
  </si>
  <si>
    <t xml:space="preserve">ANO</t>
  </si>
  <si>
    <t xml:space="preserve">VUS-ROC</t>
  </si>
  <si>
    <t xml:space="preserve">AUROC</t>
  </si>
  <si>
    <t xml:space="preserve">PFC</t>
  </si>
  <si>
    <t xml:space="preserve">Domain-specific</t>
  </si>
  <si>
    <t xml:space="preserve">Does the imputation meet domain-specific criteria?</t>
  </si>
  <si>
    <t xml:space="preserve">ζ</t>
  </si>
  <si>
    <t xml:space="preserve">ζ (det. similarity)</t>
  </si>
  <si>
    <t xml:space="preserve">REC</t>
  </si>
  <si>
    <t xml:space="preserve">ε</t>
  </si>
  <si>
    <t xml:space="preserve">ε (Frobenius discrepancy)</t>
  </si>
  <si>
    <t xml:space="preserve">Legend:</t>
  </si>
  <si>
    <t xml:space="preserve">  IMP</t>
  </si>
  <si>
    <t xml:space="preserve">Imputation</t>
  </si>
  <si>
    <t xml:space="preserve">  TRAIN</t>
  </si>
  <si>
    <t xml:space="preserve">Training</t>
  </si>
  <si>
    <t xml:space="preserve">  FOR/CLA/ANO/REC/LEA</t>
  </si>
  <si>
    <t xml:space="preserve">Forecasting /Classification /Anomaly /Reconstruction /Learning</t>
  </si>
  <si>
    <t xml:space="preserve">IMPUTATION ALGORITHMS ONLY</t>
  </si>
  <si>
    <t xml:space="preserve">List of properties (specificness, ground truth requirement, number of mentions/ popularity) per imputation metric</t>
  </si>
  <si>
    <t xml:space="preserve">Agnostic vs Specific</t>
  </si>
  <si>
    <t xml:space="preserve">Requires Ground Truth</t>
  </si>
  <si>
    <t xml:space="preserve">Mentions (IMP)</t>
  </si>
  <si>
    <t xml:space="preserve">TSI Libraries</t>
  </si>
  <si>
    <t xml:space="preserve">Papers</t>
  </si>
  <si>
    <t xml:space="preserve">Algos</t>
  </si>
  <si>
    <t xml:space="preserve">Libs</t>
  </si>
  <si>
    <t xml:space="preserve">Total</t>
  </si>
  <si>
    <t xml:space="preserve">cleanTS (Shende et al., 2022)</t>
  </si>
  <si>
    <t xml:space="preserve">sktime (Löning et al., 2019)</t>
  </si>
  <si>
    <t xml:space="preserve">amelia II (Honaker et al., 2011)</t>
  </si>
  <si>
    <t xml:space="preserve">PyPOTS (Du, 2023)</t>
  </si>
  <si>
    <t xml:space="preserve">ImputeGAP (Nater et al., 2023)</t>
  </si>
  <si>
    <t xml:space="preserve">cleanTS calls imputeTestbench</t>
  </si>
  <si>
    <t xml:space="preserve">sktime/sktime/performance_metrics/forecasting/</t>
  </si>
  <si>
    <t xml:space="preserve">no classic imputation metrics implemented</t>
  </si>
  <si>
    <t xml:space="preserve">pypots/nn/functional/error.py</t>
  </si>
  <si>
    <t xml:space="preserve">imputegap/recovery/evaluation.py</t>
  </si>
  <si>
    <t xml:space="preserve">+1</t>
  </si>
  <si>
    <t xml:space="preserve">0</t>
  </si>
  <si>
    <t xml:space="preserve">Agnostic</t>
  </si>
  <si>
    <t xml:space="preserve">Algorithm agnostic. Works with any algorithm type; almost always agrees with RMSE on rankings.</t>
  </si>
  <si>
    <t xml:space="preserve">Yes</t>
  </si>
  <si>
    <t xml:space="preserve">imputeTestbench/R/error_functions.R</t>
  </si>
  <si>
    <t xml:space="preserve">_mae.py</t>
  </si>
  <si>
    <t xml:space="preserve">calc_mae</t>
  </si>
  <si>
    <t xml:space="preserve">compute_mae</t>
  </si>
  <si>
    <t xml:space="preserve">Algorithm agnostic. The most universally used pointwise error metric; applied across all algorithm types (statistical, deep learning, matrix completion, probabilistic). Requires ground truth.</t>
  </si>
  <si>
    <t xml:space="preserve">_mse.py (root=true)</t>
  </si>
  <si>
    <t xml:space="preserve">calc_rmse</t>
  </si>
  <si>
    <t xml:space="preserve">compute_rmse</t>
  </si>
  <si>
    <t xml:space="preserve">Algorithm agnostic. Mathematically identical to RMSE before the square root; applicable to any algorithm. The docs flag it as redundant with RMSE (same information, harder to interpret), but it's not restricted to any algorithm type.</t>
  </si>
  <si>
    <t xml:space="preserve">_mse.py</t>
  </si>
  <si>
    <t xml:space="preserve">calc_mse</t>
  </si>
  <si>
    <t xml:space="preserve">Data Constraint</t>
  </si>
  <si>
    <t xml:space="preserve">Algorithm agnostic, but has a data constraint: only valid for strictly positive-valued, non-standardised datasets (breaks when true values are zero or near-zero). Works with any algorithm on datasets that meet this condition.</t>
  </si>
  <si>
    <t xml:space="preserve">calc_mre</t>
  </si>
  <si>
    <t xml:space="preserve">Algorithm agnostic, with the same data constraint as MRE (division by zero when true values are zero). Mathematically MRE × 100 — the docs treat it as fully redundant with MRE.</t>
  </si>
  <si>
    <t xml:space="preserve">_mape.py</t>
  </si>
  <si>
    <t xml:space="preserve">Algorithm agnostic. RMSE normalised by either the mean or standard deviation of the true values to make it comparable across scales. Used in matrix completion (SVDimpute) and non-parametric (MissForest), but works with any algorithm.</t>
  </si>
  <si>
    <t xml:space="preserve">Algorithm agnostic. A normalised form of MAE (sum of absolute errors divided by sum of true values). Used in matrix factorization contexts (TRMF) because datasets span very different value ranges, but mathematically applicable to any algorithm.</t>
  </si>
  <si>
    <t xml:space="preserve">Algorithm agnostic. Compares the full value distribution of any algorithm's output to the true distribution. Uniquely can be applied without ground truth (by comparing imputed distribution to observed distribution). Works with all algorithm types.</t>
  </si>
  <si>
    <t xml:space="preserve">No</t>
  </si>
  <si>
    <t xml:space="preserve">Algorithm agnostic. Like WD, compares distributions and works with or without ground truth. Works with all algorithm types; particularly sensitive to failures in deep learning / GAN-based methods, but applicable to any algorithm.</t>
  </si>
  <si>
    <t xml:space="preserve">Algorithm agnostic in principle, but the docs exclude it from benchmarking because it is fully superseded by JSD (KLD is asymmetric and undefined when distributions don't overlap; JSD was specifically designed to fix both problems). Technically applicable to any algorithm, but not recommended.</t>
  </si>
  <si>
    <t xml:space="preserve">Specific (Probabilistic Algorithms Only)</t>
  </si>
  <si>
    <t xml:space="preserve">Probabilistic algorithms only. CRPS evaluates the full predictive distribution across all quantile levels, rewarding both accuracy and calibration simultaneously. It requires an algorithm to output a distribution, not just a point estimate. The docs are explicit: "used only for BayOTIDE and probabilistic baselines." It cannot be applied to deterministic algorithms (linear interpolation, matrix factorization, most deep learning models that produce point estimates).</t>
  </si>
  <si>
    <t xml:space="preserve">calc_quantile_crps // calc_quantile_crps_sum</t>
  </si>
  <si>
    <t xml:space="preserve">Probabilistic algorithms only. Negative log-likelihood per dimension measures how probable the true missing values are under the algorithm's learned posterior distribution. This requires the algorithm to produce a full posterior distribution over missing values. Inapplicable to any deterministic algorithm.</t>
  </si>
  <si>
    <t xml:space="preserve">Algorithm agnostic. Compares the autocorrelation structure of any algorithm's imputed series against the ground truth. Works with any algorithm; requires ground truth.</t>
  </si>
  <si>
    <t xml:space="preserve">Algorithm agnostic. Measures morphological/shape similarity between any algorithm's output and the ground truth sequence. Particularly valuable for catching the "RMSE Mirage" (algorithms that flatten peaks to score well on RMSE). Applicable to any time series imputation algorithm.</t>
  </si>
  <si>
    <t xml:space="preserve">Partially Meaningful</t>
  </si>
  <si>
    <t xml:space="preserve">Algorithm agnostic in principle (it measures the MAE between the normalised Power Spectral Density of any algorithm's output vs. ground truth), but it's a domain-specific metric for signals where frequency structure matters. It only appears in one paper (LSCD), introduced specifically to validate a spectral-conditioning algorithm. You can apply it to any algorithm's output, but it only adds meaningful information if the task requires preserving frequency content.</t>
  </si>
  <si>
    <t xml:space="preserve">Algorithm agnostic. Pearson correlation measures the linear dependency between imputed and true values, which is an operation you can perform on the output of any algorithm regardless of type.</t>
  </si>
  <si>
    <t xml:space="preserve">compute_correlation</t>
  </si>
  <si>
    <t xml:space="preserve">Algorithm agnostic. Measures statistical dependency (including nonlinear) between imputed and true values. Works with any algorithm's output.</t>
  </si>
  <si>
    <t xml:space="preserve">compute_mi</t>
  </si>
  <si>
    <t xml:space="preserve">Algorithm agnostic. Applies to any algorithm's point estimates; adds a baseline-relative signal that RMSE and MAE don't provide.</t>
  </si>
  <si>
    <t xml:space="preserve">Algorithm agnostic technically (it's a statistical equivalence test on means, applicable to any algorithm's output), but the docs flag two major limitations: it only tests means (not full distributions), and it requires a domain-specific tolerance threshold Δ (e.g. ±10% for air quality). This makes it unsuitable for general cross-algorithm benchmarking; it's best used in specific clinical or regulatory contexts.</t>
  </si>
  <si>
    <t xml:space="preserve">Algorithm agnostic technically (Bland-Altman is a graphical clinical agreement tool applicable to any two methods), but the docs exclude it from benchmarking because its output is inherently graphical and non-scalar — it cannot produce a single number to rank algorithms across datasets. It's the right tool for clinical validation of a specific pair of methods, not for systematic cross-algorithm comparison.</t>
  </si>
  <si>
    <t xml:space="preserve">Algorithm agnostic technically (Cohen's d measures mean difference between any two groups), but the docs exclude it from benchmarking because it behaves like RMSE in practice (both fail to detect distributional failures) and is fully superseded by RMSE + WD/JSD together.</t>
  </si>
  <si>
    <t xml:space="preserve">Specific (Categorical Variables Only)</t>
  </si>
  <si>
    <t xml:space="preserve">Categorical variables only (not algorithm-specific, but data-type-specific). PFC measures the fraction of missing categorical entries assigned the wrong class. It's the natural counterpart to nRMSE for mixed-type datasets: nRMSE is used for continuous variables and PFC for categorical ones. Any algorithm that handles categorical imputation can be evaluated with it; it simply cannot be applied to continuous data.</t>
  </si>
  <si>
    <t xml:space="preserve">IMPUTATION METRIC SCORING</t>
  </si>
  <si>
    <t xml:space="preserve">SCORING WEIGHTS</t>
  </si>
  <si>
    <t xml:space="preserve">W1  Venue paper mention</t>
  </si>
  <si>
    <t xml:space="preserve">Mention in a venue-published metric-analysis paper. Venue status is marked +1 in row 5 of the properties sheet, not by the P/N column label: N3 (Boursalie, Exp. Biol. Med. 247) and N4 (Diaz-Gonzalez, AI 6(9)) are journal-published.</t>
  </si>
  <si>
    <t xml:space="preserve">W2  arXiv paper mention</t>
  </si>
  <si>
    <t xml:space="preserve">Mention in an arXiv-only metric-analysis paper: N1 (Farjallah), N2 (Huang), N5 (Dolatpour Fathkouhi).</t>
  </si>
  <si>
    <t xml:space="preserve">W3  Venue algorithm mention</t>
  </si>
  <si>
    <t xml:space="preserve">Used in a venue-published imputation algorithm paper</t>
  </si>
  <si>
    <t xml:space="preserve">W4  arXiv algorithm mention</t>
  </si>
  <si>
    <t xml:space="preserve">Used in an arXiv-only imputation algorithm paper</t>
  </si>
  <si>
    <t xml:space="preserve">W5  Library implementation</t>
  </si>
  <si>
    <t xml:space="preserve">Implemented in a TSI library (cleanTS, sktime, PyPOTS, ImputeGAP, …)</t>
  </si>
  <si>
    <t xml:space="preserve">W6  Recency threshold (year)</t>
  </si>
  <si>
    <t xml:space="preserve">Avg citation year must be ≥ this to earn recency bonus</t>
  </si>
  <si>
    <t xml:space="preserve">W7  Recency bonus</t>
  </si>
  <si>
    <t xml:space="preserve">Added if avg citation year ≥ W6</t>
  </si>
  <si>
    <t xml:space="preserve">W8  Fully agnostic bonus</t>
  </si>
  <si>
    <t xml:space="preserve">Metric applies to ALL algorithm types</t>
  </si>
  <si>
    <t xml:space="preserve">W9  Partial/constrained bonus</t>
  </si>
  <si>
    <t xml:space="preserve">"Data Constraint" or "Partially Meaningful" — broadly applicable with caveats</t>
  </si>
  <si>
    <t xml:space="preserve">Agnostic bonus:  "Agnostic" → W8  |  "Data Constraint" or "Partially Meaningful" → W9  |  "Specific (…)" → 0</t>
  </si>
  <si>
    <t xml:space="preserve">METRIC INFO</t>
  </si>
  <si>
    <t xml:space="preserve">RAW COUNTS</t>
  </si>
  <si>
    <t xml:space="preserve">SCORE COMPONENTS  (count × weight)</t>
  </si>
  <si>
    <t xml:space="preserve">FINAL</t>
  </si>
  <si>
    <t xml:space="preserve">RANK</t>
  </si>
  <si>
    <t xml:space="preserve">Ground Truth</t>
  </si>
  <si>
    <t xml:space="preserve">Venue
Papers</t>
  </si>
  <si>
    <t xml:space="preserve">arXiv
Papers</t>
  </si>
  <si>
    <t xml:space="preserve">Venue
Algos</t>
  </si>
  <si>
    <t xml:space="preserve">arXiv
Algos</t>
  </si>
  <si>
    <t xml:space="preserve">Libraries</t>
  </si>
  <si>
    <t xml:space="preserve">Avg Citation
Year</t>
  </si>
  <si>
    <t xml:space="preserve">×W1
VP Score</t>
  </si>
  <si>
    <t xml:space="preserve">×W2
AP Score</t>
  </si>
  <si>
    <t xml:space="preserve">×W3
VA Score</t>
  </si>
  <si>
    <t xml:space="preserve">×W4
AA Score</t>
  </si>
  <si>
    <t xml:space="preserve">×W5
Lib Score</t>
  </si>
  <si>
    <t xml:space="preserve">W7
Recency</t>
  </si>
  <si>
    <t xml:space="preserve">W8/W9
Agnostic</t>
  </si>
  <si>
    <t xml:space="preserve">TOTAL
SCORE</t>
  </si>
  <si>
    <t xml:space="preserve">Rank</t>
  </si>
  <si>
    <t xml:space="preserve">Algorithm Agnostic</t>
  </si>
  <si>
    <t xml:space="preserve">Comment</t>
  </si>
  <si>
    <t xml:space="preserve">implemented - interesting</t>
  </si>
  <si>
    <t xml:space="preserve">behaves like RMSE - not necessarily interesting for my analysis</t>
  </si>
  <si>
    <t xml:space="preserve">not implemented - interesting</t>
  </si>
  <si>
    <t xml:space="preserve">behaves like MAE - not necessarily interesting for my analysis</t>
  </si>
  <si>
    <t xml:space="preserve">behaves like JSD - not necessarily interesting for my analysis</t>
  </si>
</sst>
</file>

<file path=xl/styles.xml><?xml version="1.0" encoding="utf-8"?>
<styleSheet xmlns="http://schemas.openxmlformats.org/spreadsheetml/2006/main">
  <numFmts count="6">
    <numFmt numFmtId="164" formatCode="General"/>
    <numFmt numFmtId="165" formatCode="@"/>
    <numFmt numFmtId="166" formatCode="General"/>
    <numFmt numFmtId="167" formatCode="0.0##"/>
    <numFmt numFmtId="168" formatCode="0.0"/>
    <numFmt numFmtId="169" formatCode="0.00"/>
  </numFmts>
  <fonts count="37">
    <font>
      <sz val="11"/>
      <color theme="1"/>
      <name val="Calibri"/>
      <family val="2"/>
      <charset val="1"/>
    </font>
    <font>
      <sz val="10"/>
      <name val="Arial"/>
      <family val="0"/>
    </font>
    <font>
      <sz val="10"/>
      <name val="Arial"/>
      <family val="0"/>
    </font>
    <font>
      <sz val="10"/>
      <name val="Arial"/>
      <family val="0"/>
    </font>
    <font>
      <sz val="10"/>
      <color theme="1"/>
      <name val="Calibri"/>
      <family val="2"/>
      <charset val="1"/>
    </font>
    <font>
      <b val="true"/>
      <sz val="10"/>
      <color rgb="FFFFFFFF"/>
      <name val="Arial"/>
      <family val="2"/>
      <charset val="1"/>
    </font>
    <font>
      <b val="true"/>
      <i val="true"/>
      <sz val="9"/>
      <color rgb="FFFFFFFF"/>
      <name val="Arial"/>
      <family val="2"/>
      <charset val="1"/>
    </font>
    <font>
      <b val="true"/>
      <sz val="8"/>
      <color rgb="FFFFFFFF"/>
      <name val="Arial"/>
      <family val="2"/>
      <charset val="1"/>
    </font>
    <font>
      <b val="true"/>
      <sz val="9"/>
      <color rgb="FF000000"/>
      <name val="Arial"/>
      <family val="2"/>
      <charset val="1"/>
    </font>
    <font>
      <sz val="9"/>
      <color rgb="FF000000"/>
      <name val="Arial"/>
      <family val="2"/>
      <charset val="1"/>
    </font>
    <font>
      <i val="true"/>
      <sz val="9"/>
      <color rgb="FF000000"/>
      <name val="Arial"/>
      <family val="2"/>
      <charset val="1"/>
    </font>
    <font>
      <b val="true"/>
      <sz val="8"/>
      <color rgb="FF000000"/>
      <name val="Arial"/>
      <family val="2"/>
      <charset val="1"/>
    </font>
    <font>
      <sz val="8"/>
      <color rgb="FF000000"/>
      <name val="Arial"/>
      <family val="2"/>
      <charset val="1"/>
    </font>
    <font>
      <i val="true"/>
      <sz val="8"/>
      <color rgb="FF000000"/>
      <name val="Arial"/>
      <family val="2"/>
      <charset val="1"/>
    </font>
    <font>
      <b val="true"/>
      <sz val="14"/>
      <color theme="0"/>
      <name val="Calibri"/>
      <family val="2"/>
      <charset val="1"/>
    </font>
    <font>
      <b val="true"/>
      <u val="single"/>
      <sz val="8"/>
      <color theme="0"/>
      <name val="Calibri"/>
      <family val="2"/>
      <charset val="1"/>
    </font>
    <font>
      <b val="true"/>
      <sz val="8"/>
      <color theme="0"/>
      <name val="Arial"/>
      <family val="2"/>
      <charset val="1"/>
    </font>
    <font>
      <i val="true"/>
      <sz val="6"/>
      <color theme="0"/>
      <name val="Calibri"/>
      <family val="2"/>
      <charset val="1"/>
    </font>
    <font>
      <i val="true"/>
      <sz val="5"/>
      <color theme="0"/>
      <name val="Calibri"/>
      <family val="2"/>
      <charset val="1"/>
    </font>
    <font>
      <sz val="6"/>
      <color theme="0"/>
      <name val="Arial"/>
      <family val="2"/>
      <charset val="1"/>
    </font>
    <font>
      <sz val="6"/>
      <color rgb="FFFFFFFF"/>
      <name val="Arial"/>
      <family val="2"/>
      <charset val="1"/>
    </font>
    <font>
      <b val="true"/>
      <sz val="9"/>
      <color theme="0"/>
      <name val="Arial"/>
      <family val="2"/>
      <charset val="1"/>
    </font>
    <font>
      <b val="true"/>
      <sz val="12"/>
      <color rgb="FF000000"/>
      <name val="Arial"/>
      <family val="2"/>
      <charset val="1"/>
    </font>
    <font>
      <b val="true"/>
      <u val="single"/>
      <sz val="8"/>
      <color theme="1"/>
      <name val="Calibri"/>
      <family val="2"/>
      <charset val="1"/>
    </font>
    <font>
      <b val="true"/>
      <sz val="12"/>
      <color rgb="FFFFFFFF"/>
      <name val="Arial"/>
      <family val="2"/>
      <charset val="1"/>
    </font>
    <font>
      <b val="true"/>
      <sz val="10"/>
      <color rgb="FF1F3864"/>
      <name val="Arial"/>
      <family val="2"/>
      <charset val="1"/>
    </font>
    <font>
      <sz val="9"/>
      <color rgb="FF1F3864"/>
      <name val="Arial"/>
      <family val="2"/>
      <charset val="1"/>
    </font>
    <font>
      <b val="true"/>
      <sz val="10"/>
      <color rgb="FF000000"/>
      <name val="Arial"/>
      <family val="2"/>
      <charset val="1"/>
    </font>
    <font>
      <sz val="9"/>
      <color rgb="FF7F6000"/>
      <name val="Arial"/>
      <family val="2"/>
      <charset val="1"/>
    </font>
    <font>
      <b val="true"/>
      <sz val="9"/>
      <color rgb="FFFFFFFF"/>
      <name val="Arial"/>
      <family val="2"/>
      <charset val="1"/>
    </font>
    <font>
      <b val="true"/>
      <sz val="9"/>
      <color rgb="FF1F3864"/>
      <name val="Arial"/>
      <family val="2"/>
      <charset val="1"/>
    </font>
    <font>
      <b val="true"/>
      <sz val="9"/>
      <color theme="6" tint="-0.5"/>
      <name val="Arial"/>
      <family val="2"/>
      <charset val="1"/>
    </font>
    <font>
      <sz val="9"/>
      <color theme="1"/>
      <name val="Arial"/>
      <family val="2"/>
      <charset val="1"/>
    </font>
    <font>
      <b val="true"/>
      <sz val="8"/>
      <color theme="6"/>
      <name val="Calibri"/>
      <family val="2"/>
      <charset val="1"/>
    </font>
    <font>
      <b val="true"/>
      <sz val="9"/>
      <color rgb="FFC00000"/>
      <name val="Arial"/>
      <family val="2"/>
      <charset val="1"/>
    </font>
    <font>
      <b val="true"/>
      <sz val="8"/>
      <color rgb="FFFF0000"/>
      <name val="Calibri"/>
      <family val="2"/>
      <charset val="1"/>
    </font>
    <font>
      <sz val="11"/>
      <color theme="5"/>
      <name val="Calibri"/>
      <family val="2"/>
      <charset val="1"/>
    </font>
  </fonts>
  <fills count="44">
    <fill>
      <patternFill patternType="none"/>
    </fill>
    <fill>
      <patternFill patternType="gray125"/>
    </fill>
    <fill>
      <patternFill patternType="solid">
        <fgColor theme="9" tint="0.7999"/>
        <bgColor rgb="FFFCE4D6"/>
      </patternFill>
    </fill>
    <fill>
      <patternFill patternType="solid">
        <fgColor rgb="FF1F3864"/>
        <bgColor rgb="FF17375E"/>
      </patternFill>
    </fill>
    <fill>
      <patternFill patternType="solid">
        <fgColor rgb="FF2F5496"/>
        <bgColor rgb="FF1F497D"/>
      </patternFill>
    </fill>
    <fill>
      <patternFill patternType="solid">
        <fgColor rgb="FF4472C4"/>
        <bgColor rgb="FF31859C"/>
      </patternFill>
    </fill>
    <fill>
      <patternFill patternType="solid">
        <fgColor theme="4" tint="0.7999"/>
        <bgColor rgb="FFDAE3F3"/>
      </patternFill>
    </fill>
    <fill>
      <patternFill patternType="solid">
        <fgColor rgb="FFE2EFDA"/>
        <bgColor rgb="FFEBF1DE"/>
      </patternFill>
    </fill>
    <fill>
      <patternFill patternType="solid">
        <fgColor rgb="FFEBF3FB"/>
        <bgColor rgb="FFF2F2F2"/>
      </patternFill>
    </fill>
    <fill>
      <patternFill patternType="solid">
        <fgColor rgb="FFFCE4D6"/>
        <bgColor rgb="FFFDEADA"/>
      </patternFill>
    </fill>
    <fill>
      <patternFill patternType="solid">
        <fgColor rgb="FFF2F2F2"/>
        <bgColor rgb="FFF5F5F5"/>
      </patternFill>
    </fill>
    <fill>
      <patternFill patternType="solid">
        <fgColor rgb="FFFFF2CC"/>
        <bgColor rgb="FFFFF3CC"/>
      </patternFill>
    </fill>
    <fill>
      <patternFill patternType="solid">
        <fgColor theme="7" tint="0.7999"/>
        <bgColor rgb="FFDAE3F3"/>
      </patternFill>
    </fill>
    <fill>
      <patternFill patternType="solid">
        <fgColor theme="6" tint="0.7999"/>
        <bgColor rgb="FFE2EFDA"/>
      </patternFill>
    </fill>
    <fill>
      <patternFill patternType="solid">
        <fgColor theme="8" tint="0.7999"/>
        <bgColor rgb="FFDAE8FC"/>
      </patternFill>
    </fill>
    <fill>
      <patternFill patternType="solid">
        <fgColor rgb="FFF5F5F5"/>
        <bgColor rgb="FFF2F2F2"/>
      </patternFill>
    </fill>
    <fill>
      <patternFill patternType="solid">
        <fgColor theme="9"/>
        <bgColor rgb="FFE46C0A"/>
      </patternFill>
    </fill>
    <fill>
      <patternFill patternType="solid">
        <fgColor theme="2" tint="-0.9"/>
        <bgColor rgb="FF10243E"/>
      </patternFill>
    </fill>
    <fill>
      <patternFill patternType="solid">
        <fgColor theme="8" tint="-0.5"/>
        <bgColor rgb="FF1F497D"/>
      </patternFill>
    </fill>
    <fill>
      <patternFill patternType="solid">
        <fgColor theme="7" tint="-0.5"/>
        <bgColor rgb="FF1F3864"/>
      </patternFill>
    </fill>
    <fill>
      <patternFill patternType="solid">
        <fgColor theme="3" tint="-0.5"/>
        <bgColor rgb="FF1E1C11"/>
      </patternFill>
    </fill>
    <fill>
      <patternFill patternType="solid">
        <fgColor theme="8" tint="-0.25"/>
        <bgColor rgb="FF4472C4"/>
      </patternFill>
    </fill>
    <fill>
      <patternFill patternType="solid">
        <fgColor theme="3" tint="-0.25"/>
        <bgColor rgb="FF1F3864"/>
      </patternFill>
    </fill>
    <fill>
      <patternFill patternType="solid">
        <fgColor theme="8" tint="0.3999"/>
        <bgColor rgb="FF95B3D7"/>
      </patternFill>
    </fill>
    <fill>
      <patternFill patternType="solid">
        <fgColor theme="3" tint="0.3999"/>
        <bgColor rgb="FF4472C4"/>
      </patternFill>
    </fill>
    <fill>
      <patternFill patternType="solid">
        <fgColor theme="4" tint="0.3999"/>
        <bgColor rgb="FF93CDDD"/>
      </patternFill>
    </fill>
    <fill>
      <patternFill patternType="solid">
        <fgColor theme="6" tint="-0.25"/>
        <bgColor rgb="FF9BBB59"/>
      </patternFill>
    </fill>
    <fill>
      <patternFill patternType="solid">
        <fgColor theme="7" tint="-0.25"/>
        <bgColor rgb="FF403152"/>
      </patternFill>
    </fill>
    <fill>
      <patternFill patternType="solid">
        <fgColor theme="3" tint="0.7999"/>
        <bgColor rgb="FFBDD7EE"/>
      </patternFill>
    </fill>
    <fill>
      <patternFill patternType="solid">
        <fgColor theme="6" tint="0.5999"/>
        <bgColor rgb="FFE2EFDA"/>
      </patternFill>
    </fill>
    <fill>
      <patternFill patternType="solid">
        <fgColor theme="5" tint="0.7999"/>
        <bgColor rgb="FFFCE4D6"/>
      </patternFill>
    </fill>
    <fill>
      <patternFill patternType="solid">
        <fgColor theme="9" tint="-0.25"/>
        <bgColor rgb="FFC0504D"/>
      </patternFill>
    </fill>
    <fill>
      <patternFill patternType="solid">
        <fgColor theme="5" tint="-0.25"/>
        <bgColor rgb="FFC0504D"/>
      </patternFill>
    </fill>
    <fill>
      <patternFill patternType="solid">
        <fgColor rgb="FFBDD7EE"/>
        <bgColor rgb="FFC6D9F1"/>
      </patternFill>
    </fill>
    <fill>
      <patternFill patternType="solid">
        <fgColor rgb="FFDAE3F3"/>
        <bgColor rgb="FFDCE6F2"/>
      </patternFill>
    </fill>
    <fill>
      <patternFill patternType="solid">
        <fgColor rgb="FFFFFF00"/>
        <bgColor rgb="FFFFC000"/>
      </patternFill>
    </fill>
    <fill>
      <patternFill patternType="solid">
        <fgColor rgb="FFFFFFFF"/>
        <bgColor rgb="FFF5F5F5"/>
      </patternFill>
    </fill>
    <fill>
      <patternFill patternType="solid">
        <fgColor rgb="FFDAE8FC"/>
        <bgColor rgb="FFDCE6F2"/>
      </patternFill>
    </fill>
    <fill>
      <patternFill patternType="solid">
        <fgColor rgb="FFFFC000"/>
        <bgColor rgb="FFF79646"/>
      </patternFill>
    </fill>
    <fill>
      <patternFill patternType="solid">
        <fgColor rgb="FFFFE699"/>
        <bgColor rgb="FFFFF2CC"/>
      </patternFill>
    </fill>
    <fill>
      <patternFill patternType="solid">
        <fgColor theme="3"/>
        <bgColor rgb="FF215968"/>
      </patternFill>
    </fill>
    <fill>
      <patternFill patternType="solid">
        <fgColor theme="7" tint="0.5999"/>
        <bgColor rgb="FFBDD7EE"/>
      </patternFill>
    </fill>
    <fill>
      <patternFill patternType="solid">
        <fgColor rgb="FFFFF3CC"/>
        <bgColor rgb="FFFFF2CC"/>
      </patternFill>
    </fill>
    <fill>
      <patternFill patternType="solid">
        <fgColor theme="8" tint="0.5999"/>
        <bgColor rgb="FFBDD7EE"/>
      </patternFill>
    </fill>
  </fills>
  <borders count="25">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top/>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right style="medium"/>
      <top style="thin"/>
      <bottom style="thin"/>
      <diagonal/>
    </border>
    <border diagonalUp="false" diagonalDown="false">
      <left style="medium"/>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medium"/>
      <diagonal/>
    </border>
    <border diagonalUp="false" diagonalDown="false">
      <left/>
      <right style="medium"/>
      <top/>
      <bottom style="medium"/>
      <diagonal/>
    </border>
    <border diagonalUp="false" diagonalDown="false">
      <left style="medium"/>
      <right/>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thin"/>
      <top/>
      <bottom style="medium"/>
      <diagonal/>
    </border>
    <border diagonalUp="false" diagonalDown="false">
      <left/>
      <right style="thin"/>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5" fillId="5" borderId="2"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6" fillId="3" borderId="4"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4" fontId="12" fillId="10" borderId="2" xfId="0" applyFont="true" applyBorder="true" applyAlignment="true" applyProtection="false">
      <alignment horizontal="center" vertical="center" textRotation="0" wrapText="true" indent="0" shrinkToFit="false"/>
      <protection locked="true" hidden="false"/>
    </xf>
    <xf numFmtId="164" fontId="11" fillId="11" borderId="2" xfId="0" applyFont="true" applyBorder="true" applyAlignment="true" applyProtection="false">
      <alignment horizontal="center" vertical="center" textRotation="0" wrapText="true" indent="0" shrinkToFit="false"/>
      <protection locked="true" hidden="false"/>
    </xf>
    <xf numFmtId="164" fontId="8" fillId="11" borderId="2" xfId="0" applyFont="true" applyBorder="true" applyAlignment="true" applyProtection="false">
      <alignment horizontal="center" vertical="center" textRotation="0" wrapText="true" indent="0" shrinkToFit="false"/>
      <protection locked="true" hidden="false"/>
    </xf>
    <xf numFmtId="164" fontId="9" fillId="11" borderId="2" xfId="0" applyFont="true" applyBorder="true" applyAlignment="true" applyProtection="false">
      <alignment horizontal="left" vertical="center" textRotation="0" wrapText="true" indent="0" shrinkToFit="false"/>
      <protection locked="true" hidden="false"/>
    </xf>
    <xf numFmtId="164" fontId="10" fillId="11" borderId="2" xfId="0" applyFont="true" applyBorder="true" applyAlignment="true" applyProtection="false">
      <alignment horizontal="left" vertical="center" textRotation="0" wrapText="true" indent="0" shrinkToFit="false"/>
      <protection locked="true" hidden="false"/>
    </xf>
    <xf numFmtId="164" fontId="10" fillId="11" borderId="2" xfId="0" applyFont="true" applyBorder="true" applyAlignment="true" applyProtection="false">
      <alignment horizontal="center" vertical="center" textRotation="0" wrapText="true" indent="0" shrinkToFit="false"/>
      <protection locked="true" hidden="false"/>
    </xf>
    <xf numFmtId="164" fontId="8" fillId="12" borderId="2" xfId="0" applyFont="true" applyBorder="true" applyAlignment="true" applyProtection="false">
      <alignment horizontal="center" vertical="center" textRotation="0" wrapText="true" indent="0" shrinkToFit="false"/>
      <protection locked="true" hidden="false"/>
    </xf>
    <xf numFmtId="164" fontId="9" fillId="12" borderId="2" xfId="0" applyFont="true" applyBorder="true" applyAlignment="true" applyProtection="false">
      <alignment horizontal="left" vertical="center" textRotation="0" wrapText="true" indent="0" shrinkToFit="false"/>
      <protection locked="true" hidden="false"/>
    </xf>
    <xf numFmtId="164" fontId="10" fillId="12" borderId="2" xfId="0" applyFont="true" applyBorder="true" applyAlignment="true" applyProtection="false">
      <alignment horizontal="left" vertical="center" textRotation="0" wrapText="true" indent="0" shrinkToFit="false"/>
      <protection locked="true" hidden="false"/>
    </xf>
    <xf numFmtId="164" fontId="10" fillId="12" borderId="2" xfId="0" applyFont="true" applyBorder="true" applyAlignment="true" applyProtection="false">
      <alignment horizontal="center" vertical="center" textRotation="0" wrapText="true" indent="0" shrinkToFit="false"/>
      <protection locked="true" hidden="false"/>
    </xf>
    <xf numFmtId="164" fontId="11" fillId="7" borderId="5" xfId="0" applyFont="true" applyBorder="true" applyAlignment="true" applyProtection="false">
      <alignment horizontal="center" vertical="center" textRotation="0" wrapText="true" indent="0" shrinkToFit="false"/>
      <protection locked="true" hidden="false"/>
    </xf>
    <xf numFmtId="164" fontId="8" fillId="12" borderId="6" xfId="0" applyFont="true" applyBorder="true" applyAlignment="true" applyProtection="false">
      <alignment horizontal="center" vertical="center" textRotation="0" wrapText="true" indent="0" shrinkToFit="false"/>
      <protection locked="true" hidden="false"/>
    </xf>
    <xf numFmtId="164" fontId="9" fillId="12" borderId="5" xfId="0" applyFont="true" applyBorder="true" applyAlignment="true" applyProtection="false">
      <alignment horizontal="left" vertical="center" textRotation="0" wrapText="true" indent="0" shrinkToFit="false"/>
      <protection locked="true" hidden="false"/>
    </xf>
    <xf numFmtId="164" fontId="10" fillId="12" borderId="5" xfId="0" applyFont="true" applyBorder="true" applyAlignment="true" applyProtection="false">
      <alignment horizontal="left" vertical="center" textRotation="0" wrapText="true" indent="0" shrinkToFit="false"/>
      <protection locked="true" hidden="false"/>
    </xf>
    <xf numFmtId="164" fontId="9" fillId="8" borderId="5" xfId="0" applyFont="true" applyBorder="true" applyAlignment="true" applyProtection="false">
      <alignment horizontal="center" vertical="center" textRotation="0" wrapText="true" indent="0" shrinkToFit="false"/>
      <protection locked="true" hidden="false"/>
    </xf>
    <xf numFmtId="164" fontId="12" fillId="10" borderId="5" xfId="0" applyFont="true" applyBorder="true" applyAlignment="true" applyProtection="false">
      <alignment horizontal="center" vertical="center" textRotation="0" wrapText="true" indent="0" shrinkToFit="false"/>
      <protection locked="true" hidden="false"/>
    </xf>
    <xf numFmtId="164" fontId="8" fillId="13" borderId="2" xfId="0" applyFont="true" applyBorder="true" applyAlignment="true" applyProtection="false">
      <alignment horizontal="center" vertical="center" textRotation="0" wrapText="true" indent="0" shrinkToFit="false"/>
      <protection locked="true" hidden="false"/>
    </xf>
    <xf numFmtId="164" fontId="9" fillId="13" borderId="2" xfId="0" applyFont="true" applyBorder="true" applyAlignment="true" applyProtection="false">
      <alignment horizontal="left" vertical="center" textRotation="0" wrapText="true" indent="0" shrinkToFit="false"/>
      <protection locked="true" hidden="false"/>
    </xf>
    <xf numFmtId="164" fontId="10" fillId="13" borderId="2" xfId="0" applyFont="true" applyBorder="true" applyAlignment="true" applyProtection="false">
      <alignment horizontal="left" vertical="center" textRotation="0" wrapText="true" indent="0" shrinkToFit="false"/>
      <protection locked="true" hidden="false"/>
    </xf>
    <xf numFmtId="164" fontId="10" fillId="13" borderId="2" xfId="0" applyFont="true" applyBorder="true" applyAlignment="true" applyProtection="false">
      <alignment horizontal="center" vertical="center" textRotation="0" wrapText="true" indent="0" shrinkToFit="false"/>
      <protection locked="true" hidden="false"/>
    </xf>
    <xf numFmtId="164" fontId="8" fillId="14" borderId="2" xfId="0" applyFont="true" applyBorder="true" applyAlignment="true" applyProtection="false">
      <alignment horizontal="center" vertical="center" textRotation="0" wrapText="true" indent="0" shrinkToFit="false"/>
      <protection locked="true" hidden="false"/>
    </xf>
    <xf numFmtId="164" fontId="9" fillId="14" borderId="2" xfId="0" applyFont="true" applyBorder="true" applyAlignment="true" applyProtection="false">
      <alignment horizontal="left" vertical="center" textRotation="0" wrapText="true" indent="0" shrinkToFit="false"/>
      <protection locked="true" hidden="false"/>
    </xf>
    <xf numFmtId="164" fontId="10" fillId="14" borderId="2" xfId="0" applyFont="true" applyBorder="true" applyAlignment="true" applyProtection="false">
      <alignment horizontal="left" vertical="center" textRotation="0" wrapText="true" indent="0" shrinkToFit="false"/>
      <protection locked="true" hidden="false"/>
    </xf>
    <xf numFmtId="164" fontId="10" fillId="14" borderId="2" xfId="0" applyFont="true" applyBorder="true" applyAlignment="true" applyProtection="false">
      <alignment horizontal="center" vertical="center" textRotation="0" wrapText="true" indent="0" shrinkToFit="false"/>
      <protection locked="true" hidden="false"/>
    </xf>
    <xf numFmtId="164" fontId="8" fillId="9" borderId="2" xfId="0" applyFont="true" applyBorder="true" applyAlignment="true" applyProtection="false">
      <alignment horizontal="center" vertical="center" textRotation="0" wrapText="true" indent="0" shrinkToFit="false"/>
      <protection locked="true" hidden="false"/>
    </xf>
    <xf numFmtId="164" fontId="9" fillId="9" borderId="2" xfId="0" applyFont="true" applyBorder="true" applyAlignment="true" applyProtection="false">
      <alignment horizontal="left" vertical="center" textRotation="0" wrapText="true" indent="0" shrinkToFit="false"/>
      <protection locked="true" hidden="false"/>
    </xf>
    <xf numFmtId="164" fontId="10" fillId="9" borderId="2" xfId="0" applyFont="true" applyBorder="true" applyAlignment="true" applyProtection="false">
      <alignment horizontal="left" vertical="center" textRotation="0" wrapText="true" indent="0" shrinkToFit="false"/>
      <protection locked="true" hidden="false"/>
    </xf>
    <xf numFmtId="164" fontId="10" fillId="9" borderId="2" xfId="0" applyFont="true" applyBorder="true" applyAlignment="true" applyProtection="false">
      <alignment horizontal="center" vertical="center" textRotation="0" wrapText="true" indent="0" shrinkToFit="false"/>
      <protection locked="true" hidden="false"/>
    </xf>
    <xf numFmtId="164" fontId="8" fillId="15" borderId="2" xfId="0" applyFont="true" applyBorder="true" applyAlignment="true" applyProtection="false">
      <alignment horizontal="center" vertical="center" textRotation="0" wrapText="true" indent="0" shrinkToFit="false"/>
      <protection locked="true" hidden="false"/>
    </xf>
    <xf numFmtId="164" fontId="9" fillId="15" borderId="2" xfId="0" applyFont="true" applyBorder="true" applyAlignment="true" applyProtection="false">
      <alignment horizontal="left" vertical="center" textRotation="0" wrapText="true" indent="0" shrinkToFit="false"/>
      <protection locked="true" hidden="false"/>
    </xf>
    <xf numFmtId="164" fontId="10" fillId="15" borderId="2" xfId="0" applyFont="true" applyBorder="true" applyAlignment="true" applyProtection="false">
      <alignment horizontal="left" vertical="center" textRotation="0" wrapText="true" indent="0" shrinkToFit="false"/>
      <protection locked="true" hidden="false"/>
    </xf>
    <xf numFmtId="164" fontId="10" fillId="15"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7" borderId="2"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1" fillId="11" borderId="2" xfId="0" applyFont="true" applyBorder="true" applyAlignment="true" applyProtection="false">
      <alignment horizontal="general" vertical="bottom" textRotation="0" wrapText="false" indent="0" shrinkToFit="false"/>
      <protection locked="true" hidden="false"/>
    </xf>
    <xf numFmtId="164" fontId="11" fillId="9" borderId="2" xfId="0" applyFont="true" applyBorder="true" applyAlignment="true" applyProtection="false">
      <alignment horizontal="general" vertical="bottom" textRotation="0" wrapText="false" indent="0" shrinkToFit="false"/>
      <protection locked="true" hidden="false"/>
    </xf>
    <xf numFmtId="164" fontId="14" fillId="16" borderId="0" xfId="0" applyFont="true" applyBorder="true" applyAlignment="true" applyProtection="false">
      <alignment horizontal="general" vertical="center" textRotation="0" wrapText="false" indent="0" shrinkToFit="false"/>
      <protection locked="true" hidden="false"/>
    </xf>
    <xf numFmtId="164" fontId="0" fillId="2" borderId="7" xfId="0" applyFont="true" applyBorder="true" applyAlignment="true" applyProtection="false">
      <alignment horizontal="left" vertical="center" textRotation="0" wrapText="true" indent="0" shrinkToFit="false"/>
      <protection locked="true" hidden="false"/>
    </xf>
    <xf numFmtId="164" fontId="14" fillId="16" borderId="0" xfId="0" applyFont="true" applyBorder="false" applyAlignment="true" applyProtection="false">
      <alignment horizontal="general" vertical="center" textRotation="0" wrapText="false" indent="0" shrinkToFit="false"/>
      <protection locked="true" hidden="false"/>
    </xf>
    <xf numFmtId="164" fontId="5" fillId="17" borderId="8" xfId="0" applyFont="true" applyBorder="true" applyAlignment="true" applyProtection="false">
      <alignment horizontal="center" vertical="center" textRotation="0" wrapText="true" indent="0" shrinkToFit="false"/>
      <protection locked="true" hidden="false"/>
    </xf>
    <xf numFmtId="164" fontId="5" fillId="17" borderId="9" xfId="0" applyFont="true" applyBorder="true" applyAlignment="true" applyProtection="false">
      <alignment horizontal="center" vertical="center" textRotation="0" wrapText="true" indent="0" shrinkToFit="false"/>
      <protection locked="true" hidden="false"/>
    </xf>
    <xf numFmtId="164" fontId="5" fillId="17" borderId="10" xfId="0" applyFont="true" applyBorder="true" applyAlignment="true" applyProtection="false">
      <alignment horizontal="center" vertical="center" textRotation="0" wrapText="true" indent="0" shrinkToFit="false"/>
      <protection locked="true" hidden="false"/>
    </xf>
    <xf numFmtId="164" fontId="5" fillId="18" borderId="10" xfId="0" applyFont="true" applyBorder="true" applyAlignment="true" applyProtection="false">
      <alignment horizontal="center" vertical="center" textRotation="0" wrapText="true" indent="0" shrinkToFit="false"/>
      <protection locked="true" hidden="false"/>
    </xf>
    <xf numFmtId="164" fontId="5" fillId="19" borderId="10" xfId="0" applyFont="true" applyBorder="true" applyAlignment="true" applyProtection="false">
      <alignment horizontal="center" vertical="center" textRotation="0" wrapText="true" indent="0" shrinkToFit="false"/>
      <protection locked="true" hidden="false"/>
    </xf>
    <xf numFmtId="164" fontId="5" fillId="20" borderId="8" xfId="0" applyFont="true" applyBorder="true" applyAlignment="true" applyProtection="false">
      <alignment horizontal="center" vertical="center" textRotation="0" wrapText="true" indent="0" shrinkToFit="false"/>
      <protection locked="true" hidden="false"/>
    </xf>
    <xf numFmtId="164" fontId="5" fillId="21" borderId="10"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5" borderId="8" xfId="0" applyFont="true" applyBorder="true" applyAlignment="true" applyProtection="false">
      <alignment horizontal="center" vertical="center" textRotation="0" wrapText="true" indent="0" shrinkToFit="false"/>
      <protection locked="true" hidden="false"/>
    </xf>
    <xf numFmtId="164" fontId="5" fillId="22" borderId="11" xfId="0" applyFont="true" applyBorder="true" applyAlignment="true" applyProtection="false">
      <alignment horizontal="center" vertical="center" textRotation="0" wrapText="true" indent="0" shrinkToFit="false"/>
      <protection locked="true" hidden="false"/>
    </xf>
    <xf numFmtId="164" fontId="5" fillId="22" borderId="2" xfId="0" applyFont="true" applyBorder="true" applyAlignment="true" applyProtection="false">
      <alignment horizontal="center" vertical="center" textRotation="0" wrapText="true" indent="0" shrinkToFit="false"/>
      <protection locked="true" hidden="false"/>
    </xf>
    <xf numFmtId="164" fontId="5" fillId="22" borderId="12" xfId="0" applyFont="true" applyBorder="true" applyAlignment="true" applyProtection="false">
      <alignment horizontal="center" vertical="center" textRotation="0" wrapText="true" indent="0" shrinkToFit="false"/>
      <protection locked="true" hidden="false"/>
    </xf>
    <xf numFmtId="164" fontId="15" fillId="21" borderId="11" xfId="0" applyFont="true" applyBorder="true" applyAlignment="true" applyProtection="false">
      <alignment horizontal="center" vertical="center" textRotation="0" wrapText="true" indent="0" shrinkToFit="false"/>
      <protection locked="true" hidden="false"/>
    </xf>
    <xf numFmtId="164" fontId="15" fillId="21" borderId="2" xfId="0" applyFont="true" applyBorder="true" applyAlignment="true" applyProtection="false">
      <alignment horizontal="center" vertical="center" textRotation="0" wrapText="true" indent="0" shrinkToFit="false"/>
      <protection locked="true" hidden="false"/>
    </xf>
    <xf numFmtId="164" fontId="15" fillId="21" borderId="13" xfId="0" applyFont="true" applyBorder="true" applyAlignment="true" applyProtection="false">
      <alignment horizontal="center" vertical="center" textRotation="0" wrapText="true" indent="0" shrinkToFit="false"/>
      <protection locked="true" hidden="false"/>
    </xf>
    <xf numFmtId="164" fontId="16" fillId="4" borderId="11" xfId="0" applyFont="true" applyBorder="true" applyAlignment="true" applyProtection="false">
      <alignment horizontal="center" vertical="center" textRotation="0" wrapText="true" indent="0" shrinkToFit="false"/>
      <protection locked="true" hidden="false"/>
    </xf>
    <xf numFmtId="164" fontId="7" fillId="4" borderId="12" xfId="0" applyFont="true" applyBorder="true" applyAlignment="true" applyProtection="false">
      <alignment horizontal="center" vertical="center" textRotation="0" wrapText="true" indent="0" shrinkToFit="false"/>
      <protection locked="true" hidden="false"/>
    </xf>
    <xf numFmtId="164" fontId="7" fillId="5" borderId="11" xfId="0" applyFont="true" applyBorder="true" applyAlignment="true" applyProtection="false">
      <alignment horizontal="center" vertical="center" textRotation="0" wrapText="true" indent="0" shrinkToFit="false"/>
      <protection locked="true" hidden="false"/>
    </xf>
    <xf numFmtId="164" fontId="7" fillId="5" borderId="12" xfId="0" applyFont="true" applyBorder="true" applyAlignment="true" applyProtection="false">
      <alignment horizontal="center" vertical="center" textRotation="0" wrapText="true" indent="0" shrinkToFit="false"/>
      <protection locked="true" hidden="false"/>
    </xf>
    <xf numFmtId="164" fontId="17" fillId="23" borderId="11" xfId="0" applyFont="true" applyBorder="true" applyAlignment="true" applyProtection="false">
      <alignment horizontal="center" vertical="center" textRotation="0" wrapText="true" indent="0" shrinkToFit="false"/>
      <protection locked="true" hidden="false"/>
    </xf>
    <xf numFmtId="164" fontId="18" fillId="23" borderId="2" xfId="0" applyFont="true" applyBorder="true" applyAlignment="true" applyProtection="false">
      <alignment horizontal="center" vertical="center" textRotation="0" wrapText="true" indent="0" shrinkToFit="false"/>
      <protection locked="true" hidden="false"/>
    </xf>
    <xf numFmtId="164" fontId="18" fillId="23" borderId="12" xfId="0" applyFont="true" applyBorder="true" applyAlignment="true" applyProtection="false">
      <alignment horizontal="center" vertical="center" textRotation="0" wrapText="true" indent="0" shrinkToFit="false"/>
      <protection locked="true" hidden="false"/>
    </xf>
    <xf numFmtId="165" fontId="19" fillId="24" borderId="14" xfId="0" applyFont="true" applyBorder="true" applyAlignment="true" applyProtection="false">
      <alignment horizontal="center" vertical="center" textRotation="0" wrapText="true" indent="0" shrinkToFit="false"/>
      <protection locked="true" hidden="false"/>
    </xf>
    <xf numFmtId="165" fontId="19" fillId="24" borderId="2" xfId="0" applyFont="true" applyBorder="true" applyAlignment="true" applyProtection="false">
      <alignment horizontal="center" vertical="center" textRotation="0" wrapText="true" indent="0" shrinkToFit="false"/>
      <protection locked="true" hidden="false"/>
    </xf>
    <xf numFmtId="164" fontId="19" fillId="24" borderId="2" xfId="0" applyFont="true" applyBorder="true" applyAlignment="true" applyProtection="false">
      <alignment horizontal="center" vertical="center" textRotation="0" wrapText="true" indent="0" shrinkToFit="false"/>
      <protection locked="true" hidden="false"/>
    </xf>
    <xf numFmtId="165" fontId="20" fillId="24" borderId="2" xfId="0" applyFont="true" applyBorder="true" applyAlignment="true" applyProtection="false">
      <alignment horizontal="center" vertical="center" textRotation="0" wrapText="true" indent="0" shrinkToFit="false"/>
      <protection locked="true" hidden="false"/>
    </xf>
    <xf numFmtId="164" fontId="19" fillId="24" borderId="12" xfId="0" applyFont="true" applyBorder="true" applyAlignment="true" applyProtection="false">
      <alignment horizontal="center" vertical="center" textRotation="0" wrapText="true" indent="0" shrinkToFit="false"/>
      <protection locked="true" hidden="false"/>
    </xf>
    <xf numFmtId="165" fontId="20" fillId="25" borderId="15" xfId="0" applyFont="true" applyBorder="true" applyAlignment="true" applyProtection="false">
      <alignment horizontal="center" vertical="center" textRotation="0" wrapText="true" indent="0" shrinkToFit="false"/>
      <protection locked="true" hidden="false"/>
    </xf>
    <xf numFmtId="165" fontId="20" fillId="25" borderId="5" xfId="0" applyFont="true" applyBorder="true" applyAlignment="true" applyProtection="false">
      <alignment horizontal="center" vertical="center" textRotation="0" wrapText="true" indent="0" shrinkToFit="false"/>
      <protection locked="true" hidden="false"/>
    </xf>
    <xf numFmtId="164" fontId="20" fillId="25" borderId="5" xfId="0" applyFont="true" applyBorder="true" applyAlignment="true" applyProtection="false">
      <alignment horizontal="center" vertical="center" textRotation="0" wrapText="true" indent="0" shrinkToFit="false"/>
      <protection locked="true" hidden="false"/>
    </xf>
    <xf numFmtId="165" fontId="20" fillId="25" borderId="16" xfId="0" applyFont="true" applyBorder="true" applyAlignment="true" applyProtection="false">
      <alignment horizontal="center" vertical="center" textRotation="0" wrapText="true" indent="0" shrinkToFit="false"/>
      <protection locked="true" hidden="false"/>
    </xf>
    <xf numFmtId="164" fontId="19" fillId="24" borderId="11" xfId="0" applyFont="true" applyBorder="true" applyAlignment="true" applyProtection="false">
      <alignment horizontal="center" vertical="center" textRotation="0" wrapText="true" indent="0" shrinkToFit="false"/>
      <protection locked="true" hidden="false"/>
    </xf>
    <xf numFmtId="164" fontId="20" fillId="25" borderId="15" xfId="0" applyFont="true" applyBorder="true" applyAlignment="true" applyProtection="false">
      <alignment horizontal="center" vertical="center" textRotation="0" wrapText="true" indent="0" shrinkToFit="false"/>
      <protection locked="true" hidden="false"/>
    </xf>
    <xf numFmtId="164" fontId="20" fillId="25" borderId="16"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21" fillId="26" borderId="11" xfId="0" applyFont="true" applyBorder="true" applyAlignment="true" applyProtection="false">
      <alignment horizontal="center" vertical="center" textRotation="0" wrapText="true" indent="0" shrinkToFit="false"/>
      <protection locked="true" hidden="false"/>
    </xf>
    <xf numFmtId="164" fontId="10" fillId="13" borderId="12" xfId="0" applyFont="true" applyBorder="true" applyAlignment="true" applyProtection="false">
      <alignment horizontal="left" vertical="center" textRotation="0" wrapText="true" indent="0" shrinkToFit="false"/>
      <protection locked="true" hidden="false"/>
    </xf>
    <xf numFmtId="164" fontId="21" fillId="27" borderId="14" xfId="0" applyFont="true" applyBorder="true" applyAlignment="true" applyProtection="false">
      <alignment horizontal="center" vertical="center" textRotation="0" wrapText="true" indent="0" shrinkToFit="false"/>
      <protection locked="true" hidden="false"/>
    </xf>
    <xf numFmtId="166" fontId="22" fillId="28" borderId="11" xfId="0" applyFont="true" applyBorder="true" applyAlignment="true" applyProtection="false">
      <alignment horizontal="center" vertical="center" textRotation="0" wrapText="true" indent="0" shrinkToFit="false"/>
      <protection locked="true" hidden="false"/>
    </xf>
    <xf numFmtId="166" fontId="22" fillId="28" borderId="2" xfId="0" applyFont="true" applyBorder="true" applyAlignment="true" applyProtection="false">
      <alignment horizontal="center" vertical="center" textRotation="0" wrapText="true" indent="0" shrinkToFit="false"/>
      <protection locked="true" hidden="false"/>
    </xf>
    <xf numFmtId="166" fontId="22" fillId="28" borderId="3" xfId="0" applyFont="true" applyBorder="true" applyAlignment="true" applyProtection="false">
      <alignment horizontal="center" vertical="center" textRotation="0" wrapText="true" indent="0" shrinkToFit="false"/>
      <protection locked="true" hidden="false"/>
    </xf>
    <xf numFmtId="166" fontId="22" fillId="28" borderId="12" xfId="0" applyFont="true" applyBorder="true" applyAlignment="true" applyProtection="false">
      <alignment horizontal="center" vertical="center" textRotation="0" wrapText="true" indent="0" shrinkToFit="false"/>
      <protection locked="true" hidden="false"/>
    </xf>
    <xf numFmtId="164" fontId="23" fillId="29" borderId="15" xfId="0" applyFont="true" applyBorder="true" applyAlignment="true" applyProtection="false">
      <alignment horizontal="left" vertical="center" textRotation="0" wrapText="true" indent="0" shrinkToFit="false"/>
      <protection locked="true" hidden="false"/>
    </xf>
    <xf numFmtId="164" fontId="8" fillId="29" borderId="6" xfId="0" applyFont="true" applyBorder="true" applyAlignment="true" applyProtection="false">
      <alignment horizontal="center" vertical="center" textRotation="0" wrapText="true" indent="0" shrinkToFit="false"/>
      <protection locked="true" hidden="false"/>
    </xf>
    <xf numFmtId="164" fontId="8" fillId="29" borderId="16" xfId="0" applyFont="true" applyBorder="true" applyAlignment="true" applyProtection="false">
      <alignment horizontal="center" vertical="center" textRotation="0" wrapText="true" indent="0" shrinkToFit="false"/>
      <protection locked="true" hidden="false"/>
    </xf>
    <xf numFmtId="164" fontId="9" fillId="7" borderId="11"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12" fillId="30" borderId="2" xfId="0" applyFont="true" applyBorder="true" applyAlignment="true" applyProtection="false">
      <alignment horizontal="center" vertical="center" textRotation="0" wrapText="true" indent="0" shrinkToFit="false"/>
      <protection locked="true" hidden="false"/>
    </xf>
    <xf numFmtId="164" fontId="9" fillId="7" borderId="12" xfId="0" applyFont="true" applyBorder="true" applyAlignment="true" applyProtection="false">
      <alignment horizontal="center" vertical="center" textRotation="0" wrapText="true" indent="0" shrinkToFit="false"/>
      <protection locked="true" hidden="false"/>
    </xf>
    <xf numFmtId="164" fontId="12" fillId="7" borderId="11" xfId="0" applyFont="true" applyBorder="true" applyAlignment="true" applyProtection="false">
      <alignment horizontal="center" vertical="center" textRotation="0" wrapText="tru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12" fillId="9" borderId="2" xfId="0" applyFont="true" applyBorder="true" applyAlignment="true" applyProtection="false">
      <alignment horizontal="center" vertical="center" textRotation="0" wrapText="true" indent="0" shrinkToFit="false"/>
      <protection locked="true" hidden="false"/>
    </xf>
    <xf numFmtId="164" fontId="12" fillId="11" borderId="2" xfId="0" applyFont="true" applyBorder="true" applyAlignment="true" applyProtection="false">
      <alignment horizontal="center" vertical="center" textRotation="0" wrapText="true" indent="0" shrinkToFit="false"/>
      <protection locked="true" hidden="false"/>
    </xf>
    <xf numFmtId="164" fontId="12" fillId="10" borderId="12" xfId="0" applyFont="true" applyBorder="true" applyAlignment="true" applyProtection="false">
      <alignment horizontal="center" vertical="center" textRotation="0" wrapText="true" indent="0" shrinkToFit="false"/>
      <protection locked="true" hidden="false"/>
    </xf>
    <xf numFmtId="164" fontId="12" fillId="10" borderId="11" xfId="0" applyFont="true" applyBorder="true" applyAlignment="true" applyProtection="false">
      <alignment horizontal="center" vertical="center" textRotation="0" wrapText="true" indent="0" shrinkToFit="false"/>
      <protection locked="true" hidden="false"/>
    </xf>
    <xf numFmtId="164" fontId="9" fillId="8" borderId="15" xfId="0" applyFont="true" applyBorder="true" applyAlignment="true" applyProtection="false">
      <alignment horizontal="center" vertical="center" textRotation="0" wrapText="true" indent="0" shrinkToFit="false"/>
      <protection locked="true" hidden="false"/>
    </xf>
    <xf numFmtId="164" fontId="9" fillId="8" borderId="16" xfId="0" applyFont="true" applyBorder="true" applyAlignment="true" applyProtection="false">
      <alignment horizontal="center" vertical="center" textRotation="0" wrapText="true" indent="0" shrinkToFit="false"/>
      <protection locked="true" hidden="false"/>
    </xf>
    <xf numFmtId="164" fontId="9" fillId="8" borderId="11" xfId="0" applyFont="true" applyBorder="true" applyAlignment="true" applyProtection="false">
      <alignment horizontal="center" vertical="center" textRotation="0" wrapText="true" indent="0" shrinkToFit="false"/>
      <protection locked="true" hidden="false"/>
    </xf>
    <xf numFmtId="164" fontId="21" fillId="31" borderId="15" xfId="0" applyFont="true" applyBorder="true" applyAlignment="true" applyProtection="false">
      <alignment horizontal="center" vertical="center" textRotation="0" wrapText="true" indent="0" shrinkToFit="false"/>
      <protection locked="true" hidden="false"/>
    </xf>
    <xf numFmtId="164" fontId="10" fillId="2" borderId="12" xfId="0" applyFont="true" applyBorder="true" applyAlignment="true" applyProtection="false">
      <alignment horizontal="left" vertical="center" textRotation="0" wrapText="true" indent="0" shrinkToFit="false"/>
      <protection locked="true" hidden="false"/>
    </xf>
    <xf numFmtId="164" fontId="9" fillId="8" borderId="12" xfId="0" applyFont="true" applyBorder="true" applyAlignment="true" applyProtection="false">
      <alignment horizontal="center" vertical="center" textRotation="0" wrapText="true" indent="0" shrinkToFit="false"/>
      <protection locked="true" hidden="false"/>
    </xf>
    <xf numFmtId="164" fontId="10" fillId="13" borderId="16" xfId="0" applyFont="true" applyBorder="true" applyAlignment="true" applyProtection="false">
      <alignment horizontal="left" vertical="center" textRotation="0" wrapText="true" indent="0" shrinkToFit="false"/>
      <protection locked="true" hidden="false"/>
    </xf>
    <xf numFmtId="164" fontId="12" fillId="7" borderId="12" xfId="0" applyFont="true" applyBorder="true" applyAlignment="true" applyProtection="false">
      <alignment horizontal="center" vertical="center" textRotation="0" wrapText="true" indent="0" shrinkToFit="false"/>
      <protection locked="true" hidden="false"/>
    </xf>
    <xf numFmtId="164" fontId="9" fillId="11" borderId="2" xfId="0" applyFont="true" applyBorder="true" applyAlignment="true" applyProtection="false">
      <alignment horizontal="center" vertical="center" textRotation="0" wrapText="true" indent="0" shrinkToFit="false"/>
      <protection locked="true" hidden="false"/>
    </xf>
    <xf numFmtId="164" fontId="21" fillId="21" borderId="14" xfId="0" applyFont="true" applyBorder="true" applyAlignment="true" applyProtection="false">
      <alignment horizontal="center" vertical="center" textRotation="0" wrapText="true" indent="0" shrinkToFit="false"/>
      <protection locked="true" hidden="false"/>
    </xf>
    <xf numFmtId="164" fontId="9" fillId="12" borderId="2" xfId="0" applyFont="true" applyBorder="true" applyAlignment="true" applyProtection="false">
      <alignment horizontal="center" vertical="center" textRotation="0" wrapText="true" indent="0" shrinkToFit="false"/>
      <protection locked="true" hidden="false"/>
    </xf>
    <xf numFmtId="164" fontId="21" fillId="32" borderId="11" xfId="0" applyFont="true" applyBorder="true" applyAlignment="true" applyProtection="false">
      <alignment horizontal="center" vertical="center" textRotation="0" wrapText="true" indent="0" shrinkToFit="false"/>
      <protection locked="true" hidden="false"/>
    </xf>
    <xf numFmtId="164" fontId="10" fillId="30" borderId="16" xfId="0" applyFont="true" applyBorder="true" applyAlignment="true" applyProtection="false">
      <alignment horizontal="left" vertical="center" textRotation="0" wrapText="true" indent="0" shrinkToFit="false"/>
      <protection locked="true" hidden="false"/>
    </xf>
    <xf numFmtId="164" fontId="12" fillId="7" borderId="5" xfId="0" applyFont="true" applyBorder="true" applyAlignment="true" applyProtection="false">
      <alignment horizontal="center" vertical="center" textRotation="0" wrapText="true" indent="0" shrinkToFit="false"/>
      <protection locked="true" hidden="false"/>
    </xf>
    <xf numFmtId="164" fontId="9" fillId="12" borderId="6" xfId="0" applyFont="true" applyBorder="true" applyAlignment="true" applyProtection="false">
      <alignment horizontal="center" vertical="center" textRotation="0" wrapText="true" indent="0" shrinkToFit="false"/>
      <protection locked="true" hidden="false"/>
    </xf>
    <xf numFmtId="164" fontId="12" fillId="30" borderId="5" xfId="0" applyFont="true" applyBorder="true" applyAlignment="true" applyProtection="false">
      <alignment horizontal="center" vertical="center" textRotation="0" wrapText="true" indent="0" shrinkToFit="false"/>
      <protection locked="true" hidden="false"/>
    </xf>
    <xf numFmtId="164" fontId="12" fillId="10" borderId="15" xfId="0" applyFont="true" applyBorder="true" applyAlignment="true" applyProtection="false">
      <alignment horizontal="center" vertical="center" textRotation="0" wrapText="true" indent="0" shrinkToFit="false"/>
      <protection locked="true" hidden="false"/>
    </xf>
    <xf numFmtId="164" fontId="12" fillId="10" borderId="16" xfId="0" applyFont="true" applyBorder="true" applyAlignment="true" applyProtection="false">
      <alignment horizontal="center" vertical="center" textRotation="0" wrapText="true" indent="0" shrinkToFit="false"/>
      <protection locked="true" hidden="false"/>
    </xf>
    <xf numFmtId="164" fontId="9" fillId="13" borderId="2" xfId="0" applyFont="true" applyBorder="true" applyAlignment="true" applyProtection="false">
      <alignment horizontal="center" vertical="center" textRotation="0" wrapText="true" indent="0" shrinkToFit="false"/>
      <protection locked="true" hidden="false"/>
    </xf>
    <xf numFmtId="164" fontId="10" fillId="2" borderId="16" xfId="0" applyFont="true" applyBorder="true" applyAlignment="true" applyProtection="false">
      <alignment horizontal="left" vertical="center" textRotation="0" wrapText="true" indent="0" shrinkToFit="false"/>
      <protection locked="true" hidden="false"/>
    </xf>
    <xf numFmtId="164" fontId="9" fillId="14" borderId="2" xfId="0" applyFont="true" applyBorder="true" applyAlignment="true" applyProtection="false">
      <alignment horizontal="center" vertical="center" textRotation="0" wrapText="true" indent="0" shrinkToFit="false"/>
      <protection locked="true" hidden="false"/>
    </xf>
    <xf numFmtId="164" fontId="8" fillId="15" borderId="6" xfId="0" applyFont="true" applyBorder="true" applyAlignment="true" applyProtection="false">
      <alignment horizontal="center" vertical="center" textRotation="0" wrapText="true" indent="0" shrinkToFit="false"/>
      <protection locked="true" hidden="false"/>
    </xf>
    <xf numFmtId="164" fontId="9" fillId="15" borderId="5" xfId="0" applyFont="true" applyBorder="true" applyAlignment="true" applyProtection="false">
      <alignment horizontal="left" vertical="center" textRotation="0" wrapText="true" indent="0" shrinkToFit="false"/>
      <protection locked="true" hidden="false"/>
    </xf>
    <xf numFmtId="164" fontId="10" fillId="15" borderId="5" xfId="0" applyFont="true" applyBorder="true" applyAlignment="true" applyProtection="false">
      <alignment horizontal="left" vertical="center" textRotation="0" wrapText="true" indent="0" shrinkToFit="false"/>
      <protection locked="true" hidden="false"/>
    </xf>
    <xf numFmtId="164" fontId="21" fillId="32" borderId="17" xfId="0" applyFont="true" applyBorder="true" applyAlignment="true" applyProtection="false">
      <alignment horizontal="center" vertical="center" textRotation="0" wrapText="true" indent="0" shrinkToFit="false"/>
      <protection locked="true" hidden="false"/>
    </xf>
    <xf numFmtId="164" fontId="10" fillId="30" borderId="18" xfId="0" applyFont="true" applyBorder="true" applyAlignment="true" applyProtection="false">
      <alignment horizontal="left" vertical="center" textRotation="0" wrapText="true" indent="0" shrinkToFit="false"/>
      <protection locked="true" hidden="false"/>
    </xf>
    <xf numFmtId="164" fontId="21" fillId="27" borderId="19" xfId="0" applyFont="true" applyBorder="true" applyAlignment="true" applyProtection="false">
      <alignment horizontal="center" vertical="center" textRotation="0" wrapText="true" indent="0" shrinkToFit="false"/>
      <protection locked="true" hidden="false"/>
    </xf>
    <xf numFmtId="166" fontId="22" fillId="28" borderId="17" xfId="0" applyFont="true" applyBorder="true" applyAlignment="true" applyProtection="false">
      <alignment horizontal="center" vertical="center" textRotation="0" wrapText="true" indent="0" shrinkToFit="false"/>
      <protection locked="true" hidden="false"/>
    </xf>
    <xf numFmtId="166" fontId="22" fillId="28" borderId="20" xfId="0" applyFont="true" applyBorder="true" applyAlignment="true" applyProtection="false">
      <alignment horizontal="center" vertical="center" textRotation="0" wrapText="true" indent="0" shrinkToFit="false"/>
      <protection locked="true" hidden="false"/>
    </xf>
    <xf numFmtId="166" fontId="22" fillId="28" borderId="21" xfId="0" applyFont="true" applyBorder="true" applyAlignment="true" applyProtection="false">
      <alignment horizontal="center" vertical="center" textRotation="0" wrapText="true" indent="0" shrinkToFit="false"/>
      <protection locked="true" hidden="false"/>
    </xf>
    <xf numFmtId="166" fontId="22" fillId="28" borderId="22" xfId="0" applyFont="true" applyBorder="true" applyAlignment="true" applyProtection="false">
      <alignment horizontal="center" vertical="center" textRotation="0" wrapText="true" indent="0" shrinkToFit="false"/>
      <protection locked="true" hidden="false"/>
    </xf>
    <xf numFmtId="164" fontId="9" fillId="8" borderId="23" xfId="0" applyFont="true" applyBorder="true" applyAlignment="true" applyProtection="false">
      <alignment horizontal="center" vertical="center" textRotation="0" wrapText="true" indent="0" shrinkToFit="false"/>
      <protection locked="true" hidden="false"/>
    </xf>
    <xf numFmtId="164" fontId="9" fillId="8" borderId="24" xfId="0" applyFont="true" applyBorder="true" applyAlignment="true" applyProtection="false">
      <alignment horizontal="center" vertical="center" textRotation="0" wrapText="true" indent="0" shrinkToFit="false"/>
      <protection locked="true" hidden="false"/>
    </xf>
    <xf numFmtId="164" fontId="9" fillId="8" borderId="18" xfId="0" applyFont="true" applyBorder="true" applyAlignment="true" applyProtection="false">
      <alignment horizontal="center" vertical="center" textRotation="0" wrapText="true" indent="0" shrinkToFit="false"/>
      <protection locked="true" hidden="false"/>
    </xf>
    <xf numFmtId="164" fontId="12" fillId="30" borderId="24" xfId="0" applyFont="true" applyBorder="true" applyAlignment="true" applyProtection="false">
      <alignment horizontal="center" vertical="center" textRotation="0" wrapText="true" indent="0" shrinkToFit="false"/>
      <protection locked="true" hidden="false"/>
    </xf>
    <xf numFmtId="164" fontId="12" fillId="10" borderId="23" xfId="0" applyFont="true" applyBorder="true" applyAlignment="true" applyProtection="false">
      <alignment horizontal="center" vertical="center" textRotation="0" wrapText="true" indent="0" shrinkToFit="false"/>
      <protection locked="true" hidden="false"/>
    </xf>
    <xf numFmtId="164" fontId="12" fillId="10" borderId="24" xfId="0" applyFont="true" applyBorder="true" applyAlignment="true" applyProtection="false">
      <alignment horizontal="center" vertical="center" textRotation="0" wrapText="true" indent="0" shrinkToFit="false"/>
      <protection locked="true" hidden="false"/>
    </xf>
    <xf numFmtId="164" fontId="11" fillId="7" borderId="18" xfId="0" applyFont="true" applyBorder="true" applyAlignment="true" applyProtection="false">
      <alignment horizontal="center" vertical="center" textRotation="0" wrapText="true" indent="0" shrinkToFit="false"/>
      <protection locked="true" hidden="false"/>
    </xf>
    <xf numFmtId="164" fontId="24" fillId="3" borderId="0" xfId="0" applyFont="true" applyBorder="true" applyAlignment="true" applyProtection="false">
      <alignment horizontal="center" vertical="center" textRotation="0" wrapText="false" indent="0" shrinkToFit="false"/>
      <protection locked="true" hidden="false"/>
    </xf>
    <xf numFmtId="164" fontId="25" fillId="33" borderId="0" xfId="0" applyFont="true" applyBorder="true" applyAlignment="true" applyProtection="false">
      <alignment horizontal="left" vertical="center" textRotation="0" wrapText="false" indent="0" shrinkToFit="false"/>
      <protection locked="true" hidden="false"/>
    </xf>
    <xf numFmtId="164" fontId="26" fillId="34" borderId="2" xfId="0" applyFont="true" applyBorder="true" applyAlignment="true" applyProtection="false">
      <alignment horizontal="left" vertical="center" textRotation="0" wrapText="false" indent="0" shrinkToFit="false"/>
      <protection locked="true" hidden="false"/>
    </xf>
    <xf numFmtId="167" fontId="27" fillId="35" borderId="2" xfId="0" applyFont="true" applyBorder="true" applyAlignment="true" applyProtection="false">
      <alignment horizontal="center" vertical="center" textRotation="0" wrapText="false" indent="0" shrinkToFit="false"/>
      <protection locked="true" hidden="false"/>
    </xf>
    <xf numFmtId="164" fontId="9" fillId="36" borderId="2" xfId="0" applyFont="true" applyBorder="true" applyAlignment="true" applyProtection="false">
      <alignment horizontal="left" vertical="center" textRotation="0" wrapText="true" indent="0" shrinkToFit="false"/>
      <protection locked="true" hidden="false"/>
    </xf>
    <xf numFmtId="164" fontId="28" fillId="11" borderId="0" xfId="0" applyFont="true" applyBorder="true" applyAlignment="true" applyProtection="false">
      <alignment horizontal="left" vertical="center" textRotation="0" wrapText="false" indent="0" shrinkToFit="false"/>
      <protection locked="true" hidden="false"/>
    </xf>
    <xf numFmtId="164" fontId="29" fillId="3" borderId="2" xfId="0" applyFont="true" applyBorder="true" applyAlignment="true" applyProtection="false">
      <alignment horizontal="center" vertical="center" textRotation="0" wrapText="false" indent="0" shrinkToFit="false"/>
      <protection locked="true" hidden="false"/>
    </xf>
    <xf numFmtId="164" fontId="29" fillId="3" borderId="0" xfId="0" applyFont="true" applyBorder="true" applyAlignment="true" applyProtection="false">
      <alignment horizontal="center" vertical="center" textRotation="0" wrapText="false" indent="0" shrinkToFit="false"/>
      <protection locked="true" hidden="false"/>
    </xf>
    <xf numFmtId="164" fontId="29" fillId="3" borderId="3" xfId="0" applyFont="true" applyBorder="true" applyAlignment="true" applyProtection="false">
      <alignment horizontal="center" vertical="center" textRotation="0" wrapText="false" indent="0" shrinkToFit="false"/>
      <protection locked="true" hidden="false"/>
    </xf>
    <xf numFmtId="164" fontId="29" fillId="3" borderId="4" xfId="0" applyFont="true" applyBorder="true" applyAlignment="true" applyProtection="false">
      <alignment horizontal="general" vertical="center" textRotation="0" wrapText="false" indent="0" shrinkToFit="false"/>
      <protection locked="true" hidden="false"/>
    </xf>
    <xf numFmtId="164" fontId="30" fillId="37" borderId="2" xfId="0" applyFont="true" applyBorder="true" applyAlignment="true" applyProtection="false">
      <alignment horizontal="center" vertical="center" textRotation="0" wrapText="true" indent="0" shrinkToFit="false"/>
      <protection locked="true" hidden="false"/>
    </xf>
    <xf numFmtId="166" fontId="8" fillId="38" borderId="2" xfId="0" applyFont="true" applyBorder="true" applyAlignment="true" applyProtection="false">
      <alignment horizontal="center" vertical="center" textRotation="0" wrapText="false" indent="0" shrinkToFit="false"/>
      <protection locked="true" hidden="false"/>
    </xf>
    <xf numFmtId="164" fontId="8" fillId="10" borderId="2" xfId="0" applyFont="true" applyBorder="true" applyAlignment="true" applyProtection="false">
      <alignment horizontal="left" vertical="center" textRotation="0" wrapText="false" indent="0" shrinkToFit="false"/>
      <protection locked="true" hidden="false"/>
    </xf>
    <xf numFmtId="164" fontId="9" fillId="10" borderId="2" xfId="0" applyFont="true" applyBorder="true" applyAlignment="true" applyProtection="false">
      <alignment horizontal="left" vertical="center" textRotation="0" wrapText="false" indent="0" shrinkToFit="false"/>
      <protection locked="true" hidden="false"/>
    </xf>
    <xf numFmtId="164" fontId="9" fillId="10" borderId="2" xfId="0" applyFont="true" applyBorder="true" applyAlignment="true" applyProtection="false">
      <alignment horizontal="center" vertical="center" textRotation="0" wrapText="false" indent="0" shrinkToFit="false"/>
      <protection locked="true" hidden="false"/>
    </xf>
    <xf numFmtId="168" fontId="9" fillId="10" borderId="2" xfId="0" applyFont="true" applyBorder="true" applyAlignment="true" applyProtection="false">
      <alignment horizontal="center" vertical="center" textRotation="0" wrapText="false" indent="0" shrinkToFit="false"/>
      <protection locked="true" hidden="false"/>
    </xf>
    <xf numFmtId="169" fontId="8" fillId="39" borderId="2" xfId="0" applyFont="true" applyBorder="true" applyAlignment="true" applyProtection="false">
      <alignment horizontal="center" vertical="center" textRotation="0" wrapText="false" indent="0" shrinkToFit="false"/>
      <protection locked="true" hidden="false"/>
    </xf>
    <xf numFmtId="164" fontId="8" fillId="36" borderId="2" xfId="0" applyFont="true" applyBorder="true" applyAlignment="true" applyProtection="false">
      <alignment horizontal="left" vertical="center" textRotation="0" wrapText="false" indent="0" shrinkToFit="false"/>
      <protection locked="true" hidden="false"/>
    </xf>
    <xf numFmtId="164" fontId="9" fillId="36" borderId="2" xfId="0" applyFont="true" applyBorder="true" applyAlignment="true" applyProtection="false">
      <alignment horizontal="left" vertical="center" textRotation="0" wrapText="false" indent="0" shrinkToFit="false"/>
      <protection locked="true" hidden="false"/>
    </xf>
    <xf numFmtId="164" fontId="9" fillId="36" borderId="2" xfId="0" applyFont="true" applyBorder="true" applyAlignment="true" applyProtection="false">
      <alignment horizontal="center" vertical="center" textRotation="0" wrapText="false" indent="0" shrinkToFit="false"/>
      <protection locked="true" hidden="false"/>
    </xf>
    <xf numFmtId="168" fontId="9" fillId="36" borderId="2"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9" fillId="3" borderId="2" xfId="0" applyFont="true" applyBorder="true" applyAlignment="true" applyProtection="false">
      <alignment horizontal="center" vertical="center" textRotation="0" wrapText="true" indent="0" shrinkToFit="false"/>
      <protection locked="true" hidden="false"/>
    </xf>
    <xf numFmtId="164" fontId="29" fillId="4" borderId="2" xfId="0" applyFont="true" applyBorder="true" applyAlignment="true" applyProtection="false">
      <alignment horizontal="center" vertical="center" textRotation="0" wrapText="true" indent="0" shrinkToFit="false"/>
      <protection locked="true" hidden="false"/>
    </xf>
    <xf numFmtId="166" fontId="21" fillId="40" borderId="2" xfId="0" applyFont="true" applyBorder="true" applyAlignment="true" applyProtection="false">
      <alignment horizontal="center" vertical="center" textRotation="0" wrapText="false" indent="0" shrinkToFit="false"/>
      <protection locked="true" hidden="false"/>
    </xf>
    <xf numFmtId="164" fontId="31" fillId="6" borderId="2" xfId="0" applyFont="true" applyBorder="true" applyAlignment="true" applyProtection="false">
      <alignment horizontal="center" vertical="center" textRotation="0" wrapText="false" indent="0" shrinkToFit="false"/>
      <protection locked="true" hidden="false"/>
    </xf>
    <xf numFmtId="164" fontId="32" fillId="6" borderId="2" xfId="0" applyFont="true" applyBorder="true" applyAlignment="true" applyProtection="false">
      <alignment horizontal="left" vertical="center" textRotation="0" wrapText="false" indent="0" shrinkToFit="false"/>
      <protection locked="true" hidden="false"/>
    </xf>
    <xf numFmtId="164" fontId="9" fillId="13" borderId="2" xfId="0" applyFont="true" applyBorder="true" applyAlignment="true" applyProtection="false">
      <alignment horizontal="center" vertical="center" textRotation="0" wrapText="false" indent="0" shrinkToFit="false"/>
      <protection locked="true" hidden="false"/>
    </xf>
    <xf numFmtId="164" fontId="9" fillId="41" borderId="2" xfId="0" applyFont="true" applyBorder="true" applyAlignment="true" applyProtection="false">
      <alignment horizontal="center" vertical="center" textRotation="0" wrapText="false" indent="0" shrinkToFit="false"/>
      <protection locked="true" hidden="false"/>
    </xf>
    <xf numFmtId="164" fontId="33" fillId="0" borderId="2" xfId="0" applyFont="true" applyBorder="true" applyAlignment="true" applyProtection="false">
      <alignment horizontal="left" vertical="center" textRotation="0" wrapText="false" indent="0" shrinkToFit="false"/>
      <protection locked="true" hidden="false"/>
    </xf>
    <xf numFmtId="164" fontId="34" fillId="6" borderId="2" xfId="0" applyFont="true" applyBorder="true" applyAlignment="true" applyProtection="false">
      <alignment horizontal="center" vertical="center" textRotation="0" wrapText="false" indent="0" shrinkToFit="false"/>
      <protection locked="true" hidden="false"/>
    </xf>
    <xf numFmtId="164" fontId="35" fillId="0" borderId="2" xfId="0" applyFont="true" applyBorder="true" applyAlignment="true" applyProtection="false">
      <alignment horizontal="left"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31" fillId="42" borderId="2" xfId="0" applyFont="true" applyBorder="true" applyAlignment="true" applyProtection="false">
      <alignment horizontal="center" vertical="center" textRotation="0" wrapText="false" indent="0" shrinkToFit="false"/>
      <protection locked="true" hidden="false"/>
    </xf>
    <xf numFmtId="164" fontId="9" fillId="42" borderId="2" xfId="0" applyFont="true" applyBorder="true" applyAlignment="true" applyProtection="false">
      <alignment horizontal="left" vertical="center" textRotation="0" wrapText="false" indent="0" shrinkToFit="false"/>
      <protection locked="true" hidden="false"/>
    </xf>
    <xf numFmtId="164" fontId="9" fillId="43" borderId="2" xfId="0" applyFont="true" applyBorder="true" applyAlignment="true" applyProtection="false">
      <alignment horizontal="center" vertical="center"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1" fillId="14" borderId="2" xfId="0" applyFont="true" applyBorder="true" applyAlignment="true" applyProtection="false">
      <alignment horizontal="center" vertical="center" textRotation="0" wrapText="false" indent="0" shrinkToFit="false"/>
      <protection locked="true" hidden="false"/>
    </xf>
    <xf numFmtId="164" fontId="9" fillId="14" borderId="2" xfId="0" applyFont="true" applyBorder="true" applyAlignment="true" applyProtection="false">
      <alignment horizontal="left" vertical="center" textRotation="0" wrapText="false" indent="0" shrinkToFit="false"/>
      <protection locked="true" hidden="false"/>
    </xf>
    <xf numFmtId="164" fontId="31" fillId="12" borderId="2" xfId="0" applyFont="true" applyBorder="true" applyAlignment="true" applyProtection="false">
      <alignment horizontal="center" vertical="center" textRotation="0" wrapText="false" indent="0" shrinkToFit="false"/>
      <protection locked="true" hidden="false"/>
    </xf>
    <xf numFmtId="164" fontId="9" fillId="12" borderId="2" xfId="0" applyFont="true" applyBorder="true" applyAlignment="true" applyProtection="false">
      <alignment horizontal="left" vertical="center" textRotation="0" wrapText="false" indent="0" shrinkToFit="false"/>
      <protection locked="true" hidden="false"/>
    </xf>
    <xf numFmtId="164" fontId="31" fillId="13" borderId="2" xfId="0" applyFont="true" applyBorder="true" applyAlignment="true" applyProtection="false">
      <alignment horizontal="center" vertical="center" textRotation="0" wrapText="false" indent="0" shrinkToFit="false"/>
      <protection locked="true" hidden="false"/>
    </xf>
    <xf numFmtId="164" fontId="9" fillId="13" borderId="2" xfId="0" applyFont="true" applyBorder="true" applyAlignment="true" applyProtection="false">
      <alignment horizontal="left" vertical="center" textRotation="0" wrapText="false" indent="0" shrinkToFit="false"/>
      <protection locked="true" hidden="false"/>
    </xf>
    <xf numFmtId="164" fontId="9" fillId="6" borderId="2" xfId="0" applyFont="true" applyBorder="true" applyAlignment="true" applyProtection="false">
      <alignment horizontal="left" vertical="center" textRotation="0" wrapText="false" indent="0" shrinkToFit="false"/>
      <protection locked="true" hidden="false"/>
    </xf>
    <xf numFmtId="164" fontId="34" fillId="42" borderId="2" xfId="0" applyFont="true" applyBorder="true" applyAlignment="true" applyProtection="false">
      <alignment horizontal="center" vertical="center" textRotation="0" wrapText="false" indent="0" shrinkToFit="false"/>
      <protection locked="true" hidden="false"/>
    </xf>
    <xf numFmtId="164" fontId="34" fillId="13" borderId="2" xfId="0" applyFont="true" applyBorder="true" applyAlignment="true" applyProtection="false">
      <alignment horizontal="center" vertical="center" textRotation="0" wrapText="false" indent="0" shrinkToFit="false"/>
      <protection locked="true" hidden="false"/>
    </xf>
    <xf numFmtId="164" fontId="31" fillId="1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EBF1DE"/>
      <rgbColor rgb="FF0000FF"/>
      <rgbColor rgb="FFFFFF00"/>
      <rgbColor rgb="FFF2F2F2"/>
      <rgbColor rgb="FFD7E4BD"/>
      <rgbColor rgb="FFC00000"/>
      <rgbColor rgb="FF4F6228"/>
      <rgbColor rgb="FF000080"/>
      <rgbColor rgb="FF7F6000"/>
      <rgbColor rgb="FFF5F5F5"/>
      <rgbColor rgb="FF215968"/>
      <rgbColor rgb="FFCCC1DA"/>
      <rgbColor rgb="FF77933C"/>
      <rgbColor rgb="FF95B3D7"/>
      <rgbColor rgb="FF953735"/>
      <rgbColor rgb="FFFFF3CC"/>
      <rgbColor rgb="FFDBEEF4"/>
      <rgbColor rgb="FF660066"/>
      <rgbColor rgb="FFFCE4D6"/>
      <rgbColor rgb="FF2F5496"/>
      <rgbColor rgb="FFC6D9F1"/>
      <rgbColor rgb="FF000080"/>
      <rgbColor rgb="FFEBF3FB"/>
      <rgbColor rgb="FFFFF2CC"/>
      <rgbColor rgb="FFDCE6F2"/>
      <rgbColor rgb="FF800080"/>
      <rgbColor rgb="FF800000"/>
      <rgbColor rgb="FF1F497D"/>
      <rgbColor rgb="FF0000FF"/>
      <rgbColor rgb="FFDAE3F3"/>
      <rgbColor rgb="FFDAE8FC"/>
      <rgbColor rgb="FFE2EFDA"/>
      <rgbColor rgb="FFFFE699"/>
      <rgbColor rgb="FF93CDDD"/>
      <rgbColor rgb="FFE6E0EC"/>
      <rgbColor rgb="FFBDD7EE"/>
      <rgbColor rgb="FFF2DCDB"/>
      <rgbColor rgb="FF4472C4"/>
      <rgbColor rgb="FFB7DEE8"/>
      <rgbColor rgb="FF9BBB59"/>
      <rgbColor rgb="FFFFC000"/>
      <rgbColor rgb="FFF79646"/>
      <rgbColor rgb="FFE46C0A"/>
      <rgbColor rgb="FF604A7B"/>
      <rgbColor rgb="FF558ED5"/>
      <rgbColor rgb="FF17375E"/>
      <rgbColor rgb="FF31859C"/>
      <rgbColor rgb="FF10243E"/>
      <rgbColor rgb="FF1E1C11"/>
      <rgbColor rgb="FFFDEADA"/>
      <rgbColor rgb="FFC0504D"/>
      <rgbColor rgb="FF1F3864"/>
      <rgbColor rgb="FF4031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github.com/Mayur1009/cleanTS/blob/master/R/missing_values.R" TargetMode="External"/><Relationship Id="rId2" Type="http://schemas.openxmlformats.org/officeDocument/2006/relationships/hyperlink" Target="https://github.com/sktime/sktime/tree/main/sktime/performance_metrics/forecasting" TargetMode="External"/><Relationship Id="rId3" Type="http://schemas.openxmlformats.org/officeDocument/2006/relationships/hyperlink" Target="https://github.com/IQSS/Amelia/blob/master/R/diag.r" TargetMode="External"/><Relationship Id="rId4" Type="http://schemas.openxmlformats.org/officeDocument/2006/relationships/hyperlink" Target="https://github.com/WenjieDu/PyPOTS/blob/main/pypots/nn/functional/error.py" TargetMode="External"/><Relationship Id="rId5" Type="http://schemas.openxmlformats.org/officeDocument/2006/relationships/hyperlink" Target="https://github.com/eXascaleInfolab/ImputeGAP/blob/main/imputegap/recovery/evaluation.py" TargetMode="External"/><Relationship Id="rId6" Type="http://schemas.openxmlformats.org/officeDocument/2006/relationships/hyperlink" Target="https://github.com/cran/imputeTestbench/blob/master/R/error_functions.R" TargetMode="External"/><Relationship Id="rId7" Type="http://schemas.openxmlformats.org/officeDocument/2006/relationships/hyperlink" Target="https://github.com/cran/imputeTestbench/blob/master/R/error_functions.R" TargetMode="External"/><Relationship Id="rId8" Type="http://schemas.openxmlformats.org/officeDocument/2006/relationships/hyperlink" Target="https://github.com/cran/imputeTestbench/blob/master/R/error_functions.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37"/>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pane xSplit="1" ySplit="0" topLeftCell="B1" activePane="topRight" state="frozen"/>
      <selection pane="topLeft" activeCell="A1" activeCellId="0" sqref="A1"/>
      <selection pane="topRight" activeCell="D33" activeCellId="0" sqref="D33"/>
    </sheetView>
  </sheetViews>
  <sheetFormatPr defaultColWidth="8.83203125" defaultRowHeight="15" zeroHeight="false" outlineLevelRow="0" outlineLevelCol="0"/>
  <cols>
    <col collapsed="false" customWidth="true" hidden="false" outlineLevel="0" max="1" min="1" style="1" width="18"/>
    <col collapsed="false" customWidth="true" hidden="false" outlineLevel="0" max="2" min="2" style="1" width="29"/>
    <col collapsed="false" customWidth="true" hidden="false" outlineLevel="0" max="3" min="3" style="1" width="31"/>
    <col collapsed="false" customWidth="true" hidden="false" outlineLevel="0" max="4" min="4" style="1" width="20.16"/>
    <col collapsed="false" customWidth="true" hidden="false" outlineLevel="0" max="6" min="5" style="1" width="12"/>
    <col collapsed="false" customWidth="true" hidden="false" outlineLevel="0" max="7" min="7" style="1" width="11.83"/>
    <col collapsed="false" customWidth="true" hidden="false" outlineLevel="0" max="15" min="8" style="1" width="12"/>
    <col collapsed="false" customWidth="true" hidden="false" outlineLevel="0" max="69" min="16" style="1" width="10"/>
  </cols>
  <sheetData>
    <row r="1" s="3" customFormat="true" ht="45" hidden="false" customHeight="true" outlineLevel="0" collapsed="false">
      <c r="A1" s="2" t="s">
        <v>0</v>
      </c>
      <c r="B1" s="2"/>
      <c r="C1" s="2"/>
      <c r="D1" s="2"/>
    </row>
    <row r="2" customFormat="false" ht="25.5" hidden="false" customHeight="true" outlineLevel="0" collapsed="false">
      <c r="A2" s="4" t="s">
        <v>1</v>
      </c>
      <c r="B2" s="4" t="s">
        <v>2</v>
      </c>
      <c r="C2" s="4" t="s">
        <v>3</v>
      </c>
      <c r="D2" s="4"/>
      <c r="E2" s="5" t="s">
        <v>4</v>
      </c>
      <c r="F2" s="5"/>
      <c r="G2" s="5"/>
      <c r="H2" s="5"/>
      <c r="I2" s="5"/>
      <c r="J2" s="5"/>
      <c r="K2" s="5"/>
      <c r="L2" s="5"/>
      <c r="M2" s="5"/>
      <c r="N2" s="5"/>
      <c r="O2" s="5"/>
      <c r="P2" s="6" t="s">
        <v>5</v>
      </c>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row>
    <row r="3" customFormat="false" ht="49.5" hidden="false" customHeight="true" outlineLevel="0" collapsed="false">
      <c r="A3" s="4"/>
      <c r="B3" s="4"/>
      <c r="C3" s="7" t="s">
        <v>6</v>
      </c>
      <c r="D3" s="8" t="s">
        <v>7</v>
      </c>
      <c r="E3" s="9" t="s">
        <v>8</v>
      </c>
      <c r="F3" s="9" t="s">
        <v>9</v>
      </c>
      <c r="G3" s="9" t="s">
        <v>10</v>
      </c>
      <c r="H3" s="9" t="s">
        <v>11</v>
      </c>
      <c r="I3" s="9" t="s">
        <v>12</v>
      </c>
      <c r="J3" s="9" t="s">
        <v>13</v>
      </c>
      <c r="K3" s="9" t="s">
        <v>14</v>
      </c>
      <c r="L3" s="9" t="s">
        <v>15</v>
      </c>
      <c r="M3" s="9" t="s">
        <v>16</v>
      </c>
      <c r="N3" s="9" t="s">
        <v>17</v>
      </c>
      <c r="O3" s="9" t="s">
        <v>18</v>
      </c>
      <c r="P3" s="10" t="s">
        <v>19</v>
      </c>
      <c r="Q3" s="10" t="s">
        <v>20</v>
      </c>
      <c r="R3" s="10" t="s">
        <v>21</v>
      </c>
      <c r="S3" s="10" t="s">
        <v>22</v>
      </c>
      <c r="T3" s="10" t="s">
        <v>23</v>
      </c>
      <c r="U3" s="10" t="s">
        <v>24</v>
      </c>
      <c r="V3" s="10" t="s">
        <v>25</v>
      </c>
      <c r="W3" s="10" t="s">
        <v>26</v>
      </c>
      <c r="X3" s="10" t="s">
        <v>27</v>
      </c>
      <c r="Y3" s="10" t="s">
        <v>28</v>
      </c>
      <c r="Z3" s="10" t="s">
        <v>29</v>
      </c>
      <c r="AA3" s="10" t="s">
        <v>30</v>
      </c>
      <c r="AB3" s="10" t="s">
        <v>31</v>
      </c>
      <c r="AC3" s="10" t="s">
        <v>32</v>
      </c>
      <c r="AD3" s="10" t="s">
        <v>33</v>
      </c>
      <c r="AE3" s="10" t="s">
        <v>34</v>
      </c>
      <c r="AF3" s="10" t="s">
        <v>35</v>
      </c>
      <c r="AG3" s="10" t="s">
        <v>36</v>
      </c>
      <c r="AH3" s="10" t="s">
        <v>37</v>
      </c>
      <c r="AI3" s="10" t="s">
        <v>38</v>
      </c>
      <c r="AJ3" s="10" t="s">
        <v>39</v>
      </c>
      <c r="AK3" s="10" t="s">
        <v>40</v>
      </c>
      <c r="AL3" s="10" t="s">
        <v>41</v>
      </c>
      <c r="AM3" s="10" t="s">
        <v>42</v>
      </c>
      <c r="AN3" s="10" t="s">
        <v>43</v>
      </c>
      <c r="AO3" s="10" t="s">
        <v>44</v>
      </c>
      <c r="AP3" s="10" t="s">
        <v>45</v>
      </c>
      <c r="AQ3" s="10" t="s">
        <v>46</v>
      </c>
      <c r="AR3" s="10" t="s">
        <v>47</v>
      </c>
      <c r="AS3" s="10" t="s">
        <v>48</v>
      </c>
      <c r="AT3" s="10" t="s">
        <v>49</v>
      </c>
      <c r="AU3" s="10" t="s">
        <v>50</v>
      </c>
      <c r="AV3" s="10" t="s">
        <v>51</v>
      </c>
      <c r="AW3" s="10" t="s">
        <v>52</v>
      </c>
      <c r="AX3" s="10" t="s">
        <v>53</v>
      </c>
      <c r="AY3" s="10" t="s">
        <v>54</v>
      </c>
      <c r="AZ3" s="10" t="s">
        <v>55</v>
      </c>
      <c r="BA3" s="10" t="s">
        <v>56</v>
      </c>
      <c r="BB3" s="10" t="s">
        <v>57</v>
      </c>
      <c r="BC3" s="10" t="s">
        <v>58</v>
      </c>
      <c r="BD3" s="10" t="s">
        <v>59</v>
      </c>
      <c r="BE3" s="10" t="s">
        <v>60</v>
      </c>
      <c r="BF3" s="10" t="s">
        <v>61</v>
      </c>
      <c r="BG3" s="10" t="s">
        <v>62</v>
      </c>
      <c r="BH3" s="10" t="s">
        <v>63</v>
      </c>
      <c r="BI3" s="10" t="s">
        <v>64</v>
      </c>
      <c r="BJ3" s="10" t="s">
        <v>65</v>
      </c>
      <c r="BK3" s="10" t="s">
        <v>66</v>
      </c>
      <c r="BL3" s="10" t="s">
        <v>67</v>
      </c>
      <c r="BM3" s="10" t="s">
        <v>68</v>
      </c>
      <c r="BN3" s="10" t="s">
        <v>69</v>
      </c>
      <c r="BO3" s="10" t="s">
        <v>70</v>
      </c>
      <c r="BP3" s="10" t="s">
        <v>71</v>
      </c>
      <c r="BQ3" s="10" t="s">
        <v>72</v>
      </c>
    </row>
    <row r="4" customFormat="false" ht="18" hidden="false" customHeight="true" outlineLevel="0" collapsed="false">
      <c r="A4" s="11" t="s">
        <v>73</v>
      </c>
      <c r="B4" s="12" t="s">
        <v>74</v>
      </c>
      <c r="C4" s="13" t="s">
        <v>75</v>
      </c>
      <c r="D4" s="14" t="s">
        <v>76</v>
      </c>
      <c r="E4" s="15" t="s">
        <v>77</v>
      </c>
      <c r="F4" s="15"/>
      <c r="G4" s="16"/>
      <c r="H4" s="15" t="s">
        <v>77</v>
      </c>
      <c r="I4" s="15" t="s">
        <v>77</v>
      </c>
      <c r="J4" s="15" t="s">
        <v>77</v>
      </c>
      <c r="K4" s="15" t="s">
        <v>77</v>
      </c>
      <c r="L4" s="16"/>
      <c r="M4" s="16"/>
      <c r="N4" s="15" t="s">
        <v>77</v>
      </c>
      <c r="O4" s="15" t="s">
        <v>77</v>
      </c>
      <c r="P4" s="17" t="s">
        <v>78</v>
      </c>
      <c r="Q4" s="17" t="s">
        <v>78</v>
      </c>
      <c r="R4" s="17" t="s">
        <v>77</v>
      </c>
      <c r="S4" s="18" t="s">
        <v>79</v>
      </c>
      <c r="T4" s="17" t="s">
        <v>78</v>
      </c>
      <c r="U4" s="19"/>
      <c r="V4" s="17" t="s">
        <v>80</v>
      </c>
      <c r="W4" s="20" t="s">
        <v>81</v>
      </c>
      <c r="X4" s="17" t="s">
        <v>77</v>
      </c>
      <c r="Y4" s="17" t="s">
        <v>78</v>
      </c>
      <c r="Z4" s="17" t="s">
        <v>82</v>
      </c>
      <c r="AA4" s="17" t="s">
        <v>77</v>
      </c>
      <c r="AB4" s="17" t="s">
        <v>77</v>
      </c>
      <c r="AC4" s="17" t="s">
        <v>77</v>
      </c>
      <c r="AD4" s="17" t="s">
        <v>77</v>
      </c>
      <c r="AE4" s="19"/>
      <c r="AF4" s="17" t="s">
        <v>82</v>
      </c>
      <c r="AG4" s="19"/>
      <c r="AH4" s="19"/>
      <c r="AI4" s="19"/>
      <c r="AJ4" s="17" t="s">
        <v>77</v>
      </c>
      <c r="AK4" s="19"/>
      <c r="AL4" s="19"/>
      <c r="AM4" s="19"/>
      <c r="AN4" s="17" t="s">
        <v>77</v>
      </c>
      <c r="AO4" s="17" t="s">
        <v>77</v>
      </c>
      <c r="AP4" s="17" t="s">
        <v>77</v>
      </c>
      <c r="AQ4" s="17" t="s">
        <v>77</v>
      </c>
      <c r="AR4" s="17" t="s">
        <v>77</v>
      </c>
      <c r="AS4" s="19"/>
      <c r="AT4" s="17" t="s">
        <v>77</v>
      </c>
      <c r="AU4" s="19"/>
      <c r="AV4" s="17" t="s">
        <v>82</v>
      </c>
      <c r="AW4" s="19"/>
      <c r="AX4" s="17" t="s">
        <v>77</v>
      </c>
      <c r="AY4" s="17" t="s">
        <v>82</v>
      </c>
      <c r="AZ4" s="17" t="s">
        <v>77</v>
      </c>
      <c r="BA4" s="17" t="s">
        <v>77</v>
      </c>
      <c r="BB4" s="17" t="s">
        <v>77</v>
      </c>
      <c r="BC4" s="19"/>
      <c r="BD4" s="19"/>
      <c r="BE4" s="19"/>
      <c r="BF4" s="17" t="s">
        <v>77</v>
      </c>
      <c r="BG4" s="19"/>
      <c r="BH4" s="19"/>
      <c r="BI4" s="19"/>
      <c r="BJ4" s="19"/>
      <c r="BK4" s="19"/>
      <c r="BL4" s="17" t="s">
        <v>77</v>
      </c>
      <c r="BM4" s="19"/>
      <c r="BN4" s="19"/>
      <c r="BO4" s="19"/>
      <c r="BP4" s="19"/>
      <c r="BQ4" s="19"/>
    </row>
    <row r="5" customFormat="false" ht="18" hidden="false" customHeight="true" outlineLevel="0" collapsed="false">
      <c r="A5" s="11" t="s">
        <v>83</v>
      </c>
      <c r="B5" s="12" t="s">
        <v>84</v>
      </c>
      <c r="C5" s="13" t="s">
        <v>75</v>
      </c>
      <c r="D5" s="14"/>
      <c r="E5" s="15" t="s">
        <v>77</v>
      </c>
      <c r="F5" s="15" t="s">
        <v>77</v>
      </c>
      <c r="G5" s="16"/>
      <c r="H5" s="15" t="s">
        <v>77</v>
      </c>
      <c r="I5" s="15" t="s">
        <v>77</v>
      </c>
      <c r="J5" s="15" t="s">
        <v>77</v>
      </c>
      <c r="K5" s="15" t="s">
        <v>77</v>
      </c>
      <c r="L5" s="16"/>
      <c r="M5" s="15" t="s">
        <v>77</v>
      </c>
      <c r="N5" s="15" t="s">
        <v>77</v>
      </c>
      <c r="O5" s="15" t="s">
        <v>77</v>
      </c>
      <c r="P5" s="19"/>
      <c r="Q5" s="19"/>
      <c r="R5" s="17" t="s">
        <v>77</v>
      </c>
      <c r="S5" s="19"/>
      <c r="T5" s="19"/>
      <c r="U5" s="17" t="s">
        <v>77</v>
      </c>
      <c r="V5" s="19"/>
      <c r="W5" s="18" t="s">
        <v>79</v>
      </c>
      <c r="X5" s="17" t="s">
        <v>77</v>
      </c>
      <c r="Y5" s="19"/>
      <c r="Z5" s="17" t="s">
        <v>77</v>
      </c>
      <c r="AA5" s="18" t="s">
        <v>79</v>
      </c>
      <c r="AB5" s="19"/>
      <c r="AC5" s="19"/>
      <c r="AD5" s="19"/>
      <c r="AE5" s="17" t="s">
        <v>77</v>
      </c>
      <c r="AF5" s="17" t="s">
        <v>77</v>
      </c>
      <c r="AG5" s="19"/>
      <c r="AH5" s="19"/>
      <c r="AI5" s="17" t="s">
        <v>77</v>
      </c>
      <c r="AJ5" s="19"/>
      <c r="AK5" s="17" t="s">
        <v>77</v>
      </c>
      <c r="AL5" s="19"/>
      <c r="AM5" s="19"/>
      <c r="AN5" s="17" t="s">
        <v>77</v>
      </c>
      <c r="AO5" s="19"/>
      <c r="AP5" s="17" t="s">
        <v>77</v>
      </c>
      <c r="AQ5" s="19"/>
      <c r="AR5" s="17" t="s">
        <v>77</v>
      </c>
      <c r="AS5" s="19"/>
      <c r="AT5" s="17" t="s">
        <v>77</v>
      </c>
      <c r="AU5" s="19"/>
      <c r="AV5" s="19"/>
      <c r="AW5" s="19"/>
      <c r="AX5" s="17" t="s">
        <v>77</v>
      </c>
      <c r="AY5" s="19"/>
      <c r="AZ5" s="17" t="s">
        <v>77</v>
      </c>
      <c r="BA5" s="17" t="s">
        <v>77</v>
      </c>
      <c r="BB5" s="19"/>
      <c r="BC5" s="17" t="s">
        <v>77</v>
      </c>
      <c r="BD5" s="19"/>
      <c r="BE5" s="19"/>
      <c r="BF5" s="19"/>
      <c r="BG5" s="17" t="s">
        <v>77</v>
      </c>
      <c r="BH5" s="19"/>
      <c r="BI5" s="19"/>
      <c r="BJ5" s="19"/>
      <c r="BK5" s="17" t="s">
        <v>77</v>
      </c>
      <c r="BL5" s="19"/>
      <c r="BM5" s="17" t="s">
        <v>77</v>
      </c>
      <c r="BN5" s="17" t="s">
        <v>77</v>
      </c>
      <c r="BO5" s="19"/>
      <c r="BP5" s="19"/>
      <c r="BQ5" s="19"/>
    </row>
    <row r="6" customFormat="false" ht="18" hidden="false" customHeight="true" outlineLevel="0" collapsed="false">
      <c r="A6" s="11" t="s">
        <v>85</v>
      </c>
      <c r="B6" s="12" t="s">
        <v>86</v>
      </c>
      <c r="C6" s="13" t="s">
        <v>75</v>
      </c>
      <c r="D6" s="14"/>
      <c r="E6" s="16" t="s">
        <v>77</v>
      </c>
      <c r="F6" s="16"/>
      <c r="G6" s="16"/>
      <c r="H6" s="15" t="s">
        <v>77</v>
      </c>
      <c r="I6" s="16"/>
      <c r="J6" s="16"/>
      <c r="K6" s="16"/>
      <c r="L6" s="16"/>
      <c r="M6" s="16"/>
      <c r="N6" s="16"/>
      <c r="O6" s="15" t="s">
        <v>77</v>
      </c>
      <c r="P6" s="17" t="s">
        <v>87</v>
      </c>
      <c r="Q6" s="17" t="s">
        <v>87</v>
      </c>
      <c r="R6" s="17" t="s">
        <v>82</v>
      </c>
      <c r="S6" s="17" t="s">
        <v>82</v>
      </c>
      <c r="T6" s="17" t="s">
        <v>87</v>
      </c>
      <c r="U6" s="19"/>
      <c r="V6" s="20" t="s">
        <v>88</v>
      </c>
      <c r="W6" s="19"/>
      <c r="X6" s="19"/>
      <c r="Y6" s="17" t="s">
        <v>87</v>
      </c>
      <c r="Z6" s="15" t="s">
        <v>77</v>
      </c>
      <c r="AA6" s="15" t="s">
        <v>77</v>
      </c>
      <c r="AB6" s="15" t="s">
        <v>77</v>
      </c>
      <c r="AC6" s="20" t="s">
        <v>88</v>
      </c>
      <c r="AD6" s="19"/>
      <c r="AE6" s="19"/>
      <c r="AF6" s="19"/>
      <c r="AG6" s="17" t="s">
        <v>77</v>
      </c>
      <c r="AH6" s="17" t="s">
        <v>88</v>
      </c>
      <c r="AI6" s="20" t="s">
        <v>88</v>
      </c>
      <c r="AJ6" s="20"/>
      <c r="AK6" s="20" t="s">
        <v>88</v>
      </c>
      <c r="AL6" s="17" t="s">
        <v>82</v>
      </c>
      <c r="AM6" s="17" t="s">
        <v>82</v>
      </c>
      <c r="AN6" s="17" t="s">
        <v>82</v>
      </c>
      <c r="AO6" s="20" t="s">
        <v>88</v>
      </c>
      <c r="AP6" s="19"/>
      <c r="AQ6" s="17" t="s">
        <v>77</v>
      </c>
      <c r="AR6" s="19"/>
      <c r="AS6" s="17" t="s">
        <v>78</v>
      </c>
      <c r="AT6" s="20" t="s">
        <v>88</v>
      </c>
      <c r="AU6" s="19"/>
      <c r="AV6" s="19"/>
      <c r="AW6" s="19"/>
      <c r="AX6" s="19"/>
      <c r="AY6" s="17" t="s">
        <v>77</v>
      </c>
      <c r="AZ6" s="17" t="s">
        <v>82</v>
      </c>
      <c r="BA6" s="20" t="s">
        <v>88</v>
      </c>
      <c r="BB6" s="17" t="s">
        <v>77</v>
      </c>
      <c r="BC6" s="19"/>
      <c r="BD6" s="19"/>
      <c r="BE6" s="19"/>
      <c r="BF6" s="19"/>
      <c r="BG6" s="19"/>
      <c r="BH6" s="19"/>
      <c r="BI6" s="17" t="s">
        <v>77</v>
      </c>
      <c r="BJ6" s="19"/>
      <c r="BK6" s="19"/>
      <c r="BL6" s="19"/>
      <c r="BM6" s="17" t="s">
        <v>77</v>
      </c>
      <c r="BN6" s="19"/>
      <c r="BO6" s="19"/>
      <c r="BP6" s="19"/>
      <c r="BQ6" s="19"/>
    </row>
    <row r="7" customFormat="false" ht="18" hidden="false" customHeight="true" outlineLevel="0" collapsed="false">
      <c r="A7" s="11" t="s">
        <v>89</v>
      </c>
      <c r="B7" s="12" t="s">
        <v>90</v>
      </c>
      <c r="C7" s="13" t="s">
        <v>75</v>
      </c>
      <c r="D7" s="14"/>
      <c r="E7" s="16"/>
      <c r="F7" s="16"/>
      <c r="G7" s="16"/>
      <c r="H7" s="15" t="s">
        <v>77</v>
      </c>
      <c r="I7" s="16"/>
      <c r="J7" s="16"/>
      <c r="K7" s="16"/>
      <c r="L7" s="16"/>
      <c r="M7" s="16"/>
      <c r="N7" s="16"/>
      <c r="O7" s="16"/>
      <c r="P7" s="19"/>
      <c r="Q7" s="19"/>
      <c r="R7" s="19"/>
      <c r="S7" s="19"/>
      <c r="T7" s="19"/>
      <c r="U7" s="19"/>
      <c r="V7" s="17" t="s">
        <v>77</v>
      </c>
      <c r="W7" s="19"/>
      <c r="X7" s="19"/>
      <c r="Y7" s="19"/>
      <c r="Z7" s="17" t="s">
        <v>77</v>
      </c>
      <c r="AA7" s="19"/>
      <c r="AB7" s="17" t="s">
        <v>77</v>
      </c>
      <c r="AC7" s="19"/>
      <c r="AD7" s="19"/>
      <c r="AE7" s="19"/>
      <c r="AF7" s="19"/>
      <c r="AG7" s="19"/>
      <c r="AH7" s="19"/>
      <c r="AI7" s="19"/>
      <c r="AJ7" s="17" t="s">
        <v>77</v>
      </c>
      <c r="AK7" s="19"/>
      <c r="AL7" s="19"/>
      <c r="AM7" s="19"/>
      <c r="AN7" s="17" t="s">
        <v>77</v>
      </c>
      <c r="AO7" s="19"/>
      <c r="AP7" s="19"/>
      <c r="AQ7" s="17" t="s">
        <v>77</v>
      </c>
      <c r="AR7" s="19"/>
      <c r="AS7" s="19"/>
      <c r="AT7" s="19"/>
      <c r="AU7" s="19"/>
      <c r="AV7" s="19"/>
      <c r="AW7" s="19"/>
      <c r="AX7" s="17" t="s">
        <v>77</v>
      </c>
      <c r="AY7" s="17" t="s">
        <v>77</v>
      </c>
      <c r="AZ7" s="17" t="s">
        <v>77</v>
      </c>
      <c r="BA7" s="19"/>
      <c r="BB7" s="19"/>
      <c r="BC7" s="19"/>
      <c r="BD7" s="19"/>
      <c r="BE7" s="19"/>
      <c r="BF7" s="19"/>
      <c r="BG7" s="19"/>
      <c r="BH7" s="19"/>
      <c r="BI7" s="19"/>
      <c r="BJ7" s="19"/>
      <c r="BK7" s="19"/>
      <c r="BL7" s="17" t="s">
        <v>77</v>
      </c>
      <c r="BM7" s="19"/>
      <c r="BN7" s="19"/>
      <c r="BO7" s="19"/>
      <c r="BP7" s="19"/>
      <c r="BQ7" s="19"/>
    </row>
    <row r="8" customFormat="false" ht="18" hidden="false" customHeight="true" outlineLevel="0" collapsed="false">
      <c r="A8" s="11" t="s">
        <v>91</v>
      </c>
      <c r="B8" s="12" t="s">
        <v>92</v>
      </c>
      <c r="C8" s="13" t="s">
        <v>75</v>
      </c>
      <c r="D8" s="14"/>
      <c r="E8" s="16"/>
      <c r="F8" s="16"/>
      <c r="G8" s="16"/>
      <c r="H8" s="16"/>
      <c r="I8" s="16"/>
      <c r="J8" s="16"/>
      <c r="K8" s="16"/>
      <c r="L8" s="16"/>
      <c r="M8" s="16"/>
      <c r="N8" s="16"/>
      <c r="O8" s="16"/>
      <c r="P8" s="19" t="s">
        <v>79</v>
      </c>
      <c r="Q8" s="19"/>
      <c r="R8" s="19"/>
      <c r="S8" s="19"/>
      <c r="T8" s="19"/>
      <c r="U8" s="19"/>
      <c r="V8" s="19"/>
      <c r="W8" s="18" t="s">
        <v>79</v>
      </c>
      <c r="X8" s="19"/>
      <c r="Y8" s="19"/>
      <c r="Z8" s="19"/>
      <c r="AA8" s="19"/>
      <c r="AB8" s="19"/>
      <c r="AC8" s="19"/>
      <c r="AD8" s="19"/>
      <c r="AE8" s="19"/>
      <c r="AF8" s="19"/>
      <c r="AG8" s="19"/>
      <c r="AH8" s="19"/>
      <c r="AI8" s="19"/>
      <c r="AJ8" s="19"/>
      <c r="AK8" s="19"/>
      <c r="AL8" s="19"/>
      <c r="AM8" s="19"/>
      <c r="AN8" s="19"/>
      <c r="AO8" s="19"/>
      <c r="AP8" s="17" t="s">
        <v>77</v>
      </c>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row>
    <row r="9" customFormat="false" ht="18" hidden="false" customHeight="true" outlineLevel="0" collapsed="false">
      <c r="A9" s="11" t="s">
        <v>93</v>
      </c>
      <c r="B9" s="12" t="s">
        <v>94</v>
      </c>
      <c r="C9" s="13" t="s">
        <v>75</v>
      </c>
      <c r="D9" s="14"/>
      <c r="E9" s="16"/>
      <c r="F9" s="16"/>
      <c r="G9" s="16"/>
      <c r="H9" s="16"/>
      <c r="I9" s="16"/>
      <c r="J9" s="16"/>
      <c r="K9" s="16"/>
      <c r="L9" s="16"/>
      <c r="M9" s="16"/>
      <c r="N9" s="16"/>
      <c r="O9" s="16"/>
      <c r="P9" s="19" t="s">
        <v>79</v>
      </c>
      <c r="Q9" s="18" t="s">
        <v>79</v>
      </c>
      <c r="R9" s="19"/>
      <c r="S9" s="19"/>
      <c r="T9" s="19"/>
      <c r="U9" s="19"/>
      <c r="V9" s="19"/>
      <c r="W9" s="19"/>
      <c r="X9" s="19"/>
      <c r="Y9" s="18" t="s">
        <v>79</v>
      </c>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row>
    <row r="10" customFormat="false" ht="18" hidden="false" customHeight="true" outlineLevel="0" collapsed="false">
      <c r="A10" s="11" t="s">
        <v>95</v>
      </c>
      <c r="B10" s="12" t="s">
        <v>96</v>
      </c>
      <c r="C10" s="13" t="s">
        <v>75</v>
      </c>
      <c r="D10" s="14"/>
      <c r="E10" s="16"/>
      <c r="F10" s="16"/>
      <c r="G10" s="16"/>
      <c r="H10" s="16"/>
      <c r="I10" s="16"/>
      <c r="J10" s="16"/>
      <c r="K10" s="16"/>
      <c r="L10" s="16"/>
      <c r="M10" s="16"/>
      <c r="N10" s="16"/>
      <c r="O10" s="16"/>
      <c r="P10" s="19" t="s">
        <v>79</v>
      </c>
      <c r="Q10" s="19"/>
      <c r="R10" s="19"/>
      <c r="S10" s="19"/>
      <c r="T10" s="19"/>
      <c r="U10" s="19"/>
      <c r="V10" s="19"/>
      <c r="W10" s="19"/>
      <c r="X10" s="19"/>
      <c r="Y10" s="18" t="s">
        <v>79</v>
      </c>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row>
    <row r="11" customFormat="false" ht="18" hidden="false" customHeight="true" outlineLevel="0" collapsed="false">
      <c r="A11" s="11" t="s">
        <v>97</v>
      </c>
      <c r="B11" s="12" t="s">
        <v>98</v>
      </c>
      <c r="C11" s="13" t="s">
        <v>75</v>
      </c>
      <c r="D11" s="14"/>
      <c r="E11" s="16"/>
      <c r="F11" s="16"/>
      <c r="G11" s="16"/>
      <c r="H11" s="16"/>
      <c r="I11" s="16"/>
      <c r="J11" s="16"/>
      <c r="K11" s="16"/>
      <c r="L11" s="16"/>
      <c r="M11" s="16"/>
      <c r="N11" s="16"/>
      <c r="O11" s="16"/>
      <c r="P11" s="19" t="s">
        <v>79</v>
      </c>
      <c r="Q11" s="19"/>
      <c r="R11" s="19"/>
      <c r="S11" s="19"/>
      <c r="T11" s="19"/>
      <c r="U11" s="19"/>
      <c r="V11" s="19"/>
      <c r="W11" s="19"/>
      <c r="X11" s="19"/>
      <c r="Y11" s="18" t="s">
        <v>79</v>
      </c>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row>
    <row r="12" customFormat="false" ht="18" hidden="false" customHeight="true" outlineLevel="0" collapsed="false">
      <c r="A12" s="11" t="s">
        <v>99</v>
      </c>
      <c r="B12" s="12" t="s">
        <v>100</v>
      </c>
      <c r="C12" s="13" t="s">
        <v>75</v>
      </c>
      <c r="D12" s="14"/>
      <c r="E12" s="16"/>
      <c r="F12" s="16"/>
      <c r="G12" s="16"/>
      <c r="H12" s="16"/>
      <c r="I12" s="16"/>
      <c r="J12" s="16"/>
      <c r="K12" s="16"/>
      <c r="L12" s="16"/>
      <c r="M12" s="16"/>
      <c r="N12" s="16"/>
      <c r="O12" s="16"/>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20"/>
      <c r="AV12" s="19"/>
      <c r="AW12" s="19"/>
      <c r="AX12" s="19"/>
      <c r="AY12" s="19"/>
      <c r="AZ12" s="19"/>
      <c r="BA12" s="19"/>
      <c r="BB12" s="19"/>
      <c r="BC12" s="19"/>
      <c r="BD12" s="19"/>
      <c r="BE12" s="19"/>
      <c r="BF12" s="19"/>
      <c r="BG12" s="19"/>
      <c r="BH12" s="19"/>
      <c r="BI12" s="19"/>
      <c r="BJ12" s="19"/>
      <c r="BK12" s="19"/>
      <c r="BL12" s="19"/>
      <c r="BM12" s="19"/>
      <c r="BN12" s="19"/>
      <c r="BO12" s="19"/>
      <c r="BP12" s="19"/>
      <c r="BQ12" s="19"/>
    </row>
    <row r="13" customFormat="false" ht="18" hidden="false" customHeight="true" outlineLevel="0" collapsed="false">
      <c r="A13" s="11" t="s">
        <v>101</v>
      </c>
      <c r="B13" s="12" t="s">
        <v>102</v>
      </c>
      <c r="C13" s="13" t="s">
        <v>75</v>
      </c>
      <c r="D13" s="14"/>
      <c r="E13" s="16"/>
      <c r="F13" s="16"/>
      <c r="G13" s="16"/>
      <c r="H13" s="16"/>
      <c r="I13" s="16"/>
      <c r="J13" s="16"/>
      <c r="K13" s="16"/>
      <c r="L13" s="16"/>
      <c r="M13" s="16"/>
      <c r="N13" s="16"/>
      <c r="O13" s="16"/>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7" t="s">
        <v>77</v>
      </c>
      <c r="AV13" s="19"/>
      <c r="AW13" s="19"/>
      <c r="AX13" s="19"/>
      <c r="AY13" s="19"/>
      <c r="AZ13" s="19"/>
      <c r="BA13" s="19"/>
      <c r="BB13" s="19"/>
      <c r="BC13" s="19"/>
      <c r="BD13" s="17" t="s">
        <v>78</v>
      </c>
      <c r="BE13" s="19"/>
      <c r="BF13" s="19"/>
      <c r="BG13" s="19"/>
      <c r="BH13" s="19"/>
      <c r="BI13" s="19"/>
      <c r="BJ13" s="17" t="s">
        <v>77</v>
      </c>
      <c r="BK13" s="19"/>
      <c r="BL13" s="19"/>
      <c r="BM13" s="19"/>
      <c r="BN13" s="19"/>
      <c r="BO13" s="19"/>
      <c r="BP13" s="19"/>
      <c r="BQ13" s="17" t="s">
        <v>77</v>
      </c>
    </row>
    <row r="14" customFormat="false" ht="18" hidden="false" customHeight="true" outlineLevel="0" collapsed="false">
      <c r="A14" s="11" t="s">
        <v>103</v>
      </c>
      <c r="B14" s="12" t="s">
        <v>104</v>
      </c>
      <c r="C14" s="13" t="s">
        <v>75</v>
      </c>
      <c r="D14" s="14"/>
      <c r="E14" s="16"/>
      <c r="F14" s="16"/>
      <c r="G14" s="16"/>
      <c r="H14" s="16"/>
      <c r="I14" s="16"/>
      <c r="J14" s="16"/>
      <c r="K14" s="16"/>
      <c r="L14" s="16"/>
      <c r="M14" s="16"/>
      <c r="N14" s="16"/>
      <c r="O14" s="16"/>
      <c r="P14" s="19" t="s">
        <v>79</v>
      </c>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7" t="s">
        <v>78</v>
      </c>
      <c r="BE14" s="19"/>
      <c r="BF14" s="19"/>
      <c r="BG14" s="19"/>
      <c r="BH14" s="19"/>
      <c r="BI14" s="19"/>
      <c r="BJ14" s="19"/>
      <c r="BK14" s="19"/>
      <c r="BL14" s="19"/>
      <c r="BM14" s="19"/>
      <c r="BN14" s="19"/>
      <c r="BO14" s="19"/>
      <c r="BP14" s="19"/>
      <c r="BQ14" s="19"/>
    </row>
    <row r="15" customFormat="false" ht="18" hidden="false" customHeight="true" outlineLevel="0" collapsed="false">
      <c r="A15" s="21" t="s">
        <v>105</v>
      </c>
      <c r="B15" s="22" t="s">
        <v>106</v>
      </c>
      <c r="C15" s="23" t="s">
        <v>107</v>
      </c>
      <c r="D15" s="24" t="s">
        <v>108</v>
      </c>
      <c r="E15" s="16"/>
      <c r="F15" s="16"/>
      <c r="G15" s="16"/>
      <c r="H15" s="16"/>
      <c r="I15" s="16"/>
      <c r="J15" s="16"/>
      <c r="K15" s="15" t="s">
        <v>77</v>
      </c>
      <c r="L15" s="15" t="s">
        <v>77</v>
      </c>
      <c r="M15" s="16"/>
      <c r="N15" s="15" t="s">
        <v>77</v>
      </c>
      <c r="O15" s="16"/>
      <c r="P15" s="19"/>
      <c r="Q15" s="19"/>
      <c r="R15" s="19"/>
      <c r="S15" s="19"/>
      <c r="T15" s="19"/>
      <c r="U15" s="19"/>
      <c r="V15" s="19"/>
      <c r="W15" s="19"/>
      <c r="X15" s="19"/>
      <c r="Y15" s="19"/>
      <c r="Z15" s="19"/>
      <c r="AA15" s="19"/>
      <c r="AB15" s="19"/>
      <c r="AC15" s="19"/>
      <c r="AD15" s="19"/>
      <c r="AE15" s="19"/>
      <c r="AF15" s="19"/>
      <c r="AG15" s="19"/>
      <c r="AH15" s="19"/>
      <c r="AI15" s="19"/>
      <c r="AJ15" s="19"/>
      <c r="AK15" s="19"/>
      <c r="AL15" s="20" t="s">
        <v>88</v>
      </c>
      <c r="AM15" s="19"/>
      <c r="AN15" s="19"/>
      <c r="AO15" s="19"/>
      <c r="AP15" s="19"/>
      <c r="AQ15" s="19"/>
      <c r="AR15" s="19"/>
      <c r="AS15" s="19"/>
      <c r="AT15" s="19"/>
      <c r="AU15" s="19"/>
      <c r="AV15" s="19"/>
      <c r="AW15" s="17" t="s">
        <v>77</v>
      </c>
      <c r="AX15" s="19"/>
      <c r="AY15" s="19"/>
      <c r="AZ15" s="19"/>
      <c r="BA15" s="19"/>
      <c r="BB15" s="19"/>
      <c r="BC15" s="19"/>
      <c r="BD15" s="19"/>
      <c r="BE15" s="19"/>
      <c r="BF15" s="19"/>
      <c r="BG15" s="19"/>
      <c r="BH15" s="19"/>
      <c r="BI15" s="19"/>
      <c r="BJ15" s="19"/>
      <c r="BK15" s="19"/>
      <c r="BL15" s="19"/>
      <c r="BM15" s="19"/>
      <c r="BN15" s="19"/>
      <c r="BO15" s="19"/>
      <c r="BP15" s="19"/>
      <c r="BQ15" s="19"/>
    </row>
    <row r="16" customFormat="false" ht="18" hidden="false" customHeight="true" outlineLevel="0" collapsed="false">
      <c r="A16" s="21" t="s">
        <v>109</v>
      </c>
      <c r="B16" s="22" t="s">
        <v>110</v>
      </c>
      <c r="C16" s="23" t="s">
        <v>107</v>
      </c>
      <c r="D16" s="24"/>
      <c r="E16" s="16"/>
      <c r="F16" s="16"/>
      <c r="G16" s="16"/>
      <c r="H16" s="16"/>
      <c r="I16" s="16"/>
      <c r="J16" s="16"/>
      <c r="K16" s="15" t="s">
        <v>77</v>
      </c>
      <c r="L16" s="16"/>
      <c r="M16" s="15" t="s">
        <v>77</v>
      </c>
      <c r="N16" s="16"/>
      <c r="O16" s="16"/>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7" t="s">
        <v>77</v>
      </c>
      <c r="AX16" s="19"/>
      <c r="AY16" s="19"/>
      <c r="AZ16" s="19"/>
      <c r="BA16" s="19"/>
      <c r="BB16" s="19"/>
      <c r="BC16" s="19"/>
      <c r="BD16" s="19"/>
      <c r="BE16" s="19"/>
      <c r="BF16" s="19"/>
      <c r="BG16" s="19"/>
      <c r="BH16" s="19"/>
      <c r="BI16" s="19"/>
      <c r="BJ16" s="19"/>
      <c r="BK16" s="19"/>
      <c r="BL16" s="19"/>
      <c r="BM16" s="19"/>
      <c r="BN16" s="19"/>
      <c r="BO16" s="19"/>
      <c r="BP16" s="19"/>
      <c r="BQ16" s="19"/>
    </row>
    <row r="17" customFormat="false" ht="18" hidden="false" customHeight="true" outlineLevel="0" collapsed="false">
      <c r="A17" s="21" t="s">
        <v>111</v>
      </c>
      <c r="B17" s="22" t="s">
        <v>112</v>
      </c>
      <c r="C17" s="23" t="s">
        <v>107</v>
      </c>
      <c r="D17" s="24"/>
      <c r="E17" s="16"/>
      <c r="F17" s="16"/>
      <c r="G17" s="16"/>
      <c r="H17" s="16"/>
      <c r="I17" s="16"/>
      <c r="J17" s="16"/>
      <c r="K17" s="16"/>
      <c r="L17" s="16"/>
      <c r="M17" s="15" t="s">
        <v>77</v>
      </c>
      <c r="N17" s="16"/>
      <c r="O17" s="16"/>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7" t="s">
        <v>77</v>
      </c>
      <c r="AX17" s="19"/>
      <c r="AY17" s="19"/>
      <c r="AZ17" s="19"/>
      <c r="BA17" s="19"/>
      <c r="BB17" s="19"/>
      <c r="BC17" s="19"/>
      <c r="BD17" s="19"/>
      <c r="BE17" s="19"/>
      <c r="BF17" s="19"/>
      <c r="BG17" s="19"/>
      <c r="BH17" s="19"/>
      <c r="BI17" s="19"/>
      <c r="BJ17" s="19"/>
      <c r="BK17" s="19"/>
      <c r="BL17" s="19"/>
      <c r="BM17" s="19"/>
      <c r="BN17" s="19"/>
      <c r="BO17" s="19"/>
      <c r="BP17" s="19"/>
      <c r="BQ17" s="19"/>
    </row>
    <row r="18" customFormat="false" ht="18" hidden="false" customHeight="true" outlineLevel="0" collapsed="false">
      <c r="A18" s="25" t="s">
        <v>113</v>
      </c>
      <c r="B18" s="26" t="s">
        <v>114</v>
      </c>
      <c r="C18" s="27" t="s">
        <v>115</v>
      </c>
      <c r="D18" s="28" t="s">
        <v>116</v>
      </c>
      <c r="E18" s="16"/>
      <c r="F18" s="16"/>
      <c r="G18" s="16"/>
      <c r="H18" s="16"/>
      <c r="I18" s="16"/>
      <c r="J18" s="16"/>
      <c r="K18" s="16"/>
      <c r="L18" s="16"/>
      <c r="M18" s="16"/>
      <c r="N18" s="16"/>
      <c r="O18" s="16"/>
      <c r="P18" s="19"/>
      <c r="Q18" s="19"/>
      <c r="R18" s="19"/>
      <c r="S18" s="19"/>
      <c r="T18" s="19"/>
      <c r="U18" s="19"/>
      <c r="V18" s="19"/>
      <c r="W18" s="19"/>
      <c r="X18" s="17" t="s">
        <v>77</v>
      </c>
      <c r="Y18" s="19"/>
      <c r="Z18" s="19"/>
      <c r="AA18" s="17" t="s">
        <v>77</v>
      </c>
      <c r="AB18" s="19"/>
      <c r="AC18" s="17" t="s">
        <v>77</v>
      </c>
      <c r="AD18" s="19"/>
      <c r="AE18" s="19"/>
      <c r="AF18" s="19"/>
      <c r="AG18" s="19"/>
      <c r="AH18" s="19"/>
      <c r="AI18" s="19"/>
      <c r="AJ18" s="19"/>
      <c r="AK18" s="19"/>
      <c r="AL18" s="19"/>
      <c r="AM18" s="19"/>
      <c r="AN18" s="19"/>
      <c r="AO18" s="19"/>
      <c r="AP18" s="19"/>
      <c r="AQ18" s="19"/>
      <c r="AR18" s="17" t="s">
        <v>77</v>
      </c>
      <c r="AS18" s="19"/>
      <c r="AT18" s="29" t="s">
        <v>77</v>
      </c>
      <c r="AU18" s="19"/>
      <c r="AV18" s="19"/>
      <c r="AW18" s="19"/>
      <c r="AX18" s="19"/>
      <c r="AY18" s="19"/>
      <c r="AZ18" s="17" t="s">
        <v>77</v>
      </c>
      <c r="BA18" s="19"/>
      <c r="BB18" s="19"/>
      <c r="BC18" s="19"/>
      <c r="BD18" s="19"/>
      <c r="BE18" s="19"/>
      <c r="BF18" s="19"/>
      <c r="BG18" s="19"/>
      <c r="BH18" s="19"/>
      <c r="BI18" s="19"/>
      <c r="BJ18" s="19"/>
      <c r="BK18" s="19"/>
      <c r="BL18" s="19"/>
      <c r="BM18" s="19"/>
      <c r="BN18" s="19"/>
      <c r="BO18" s="19"/>
      <c r="BP18" s="19"/>
      <c r="BQ18" s="19"/>
    </row>
    <row r="19" customFormat="false" ht="18" hidden="false" customHeight="true" outlineLevel="0" collapsed="false">
      <c r="A19" s="30" t="s">
        <v>117</v>
      </c>
      <c r="B19" s="31" t="s">
        <v>118</v>
      </c>
      <c r="C19" s="32" t="s">
        <v>115</v>
      </c>
      <c r="D19" s="28"/>
      <c r="E19" s="33"/>
      <c r="F19" s="33"/>
      <c r="G19" s="33"/>
      <c r="H19" s="33"/>
      <c r="I19" s="33"/>
      <c r="J19" s="33"/>
      <c r="K19" s="33"/>
      <c r="L19" s="33"/>
      <c r="M19" s="33"/>
      <c r="N19" s="33"/>
      <c r="O19" s="33"/>
      <c r="P19" s="34"/>
      <c r="Q19" s="34"/>
      <c r="R19" s="34"/>
      <c r="S19" s="34"/>
      <c r="T19" s="34"/>
      <c r="U19" s="34"/>
      <c r="V19" s="34"/>
      <c r="W19" s="34"/>
      <c r="X19" s="29" t="s">
        <v>77</v>
      </c>
      <c r="Y19" s="34"/>
      <c r="Z19" s="34"/>
      <c r="AA19" s="34"/>
      <c r="AB19" s="34"/>
      <c r="AC19" s="34"/>
      <c r="AD19" s="34"/>
      <c r="AE19" s="34"/>
      <c r="AF19" s="34"/>
      <c r="AG19" s="29" t="s">
        <v>77</v>
      </c>
      <c r="AH19" s="34"/>
      <c r="AI19" s="34"/>
      <c r="AJ19" s="34"/>
      <c r="AK19" s="34"/>
      <c r="AL19" s="34"/>
      <c r="AM19" s="34"/>
      <c r="AN19" s="34"/>
      <c r="AO19" s="34"/>
      <c r="AP19" s="34"/>
      <c r="AQ19" s="34"/>
      <c r="AR19" s="34"/>
      <c r="AS19" s="29" t="s">
        <v>77</v>
      </c>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row>
    <row r="20" customFormat="false" ht="18" hidden="false" customHeight="true" outlineLevel="0" collapsed="false">
      <c r="A20" s="35" t="s">
        <v>119</v>
      </c>
      <c r="B20" s="36" t="s">
        <v>120</v>
      </c>
      <c r="C20" s="37" t="s">
        <v>121</v>
      </c>
      <c r="D20" s="38" t="s">
        <v>122</v>
      </c>
      <c r="E20" s="16"/>
      <c r="F20" s="16"/>
      <c r="G20" s="16"/>
      <c r="H20" s="16"/>
      <c r="I20" s="16"/>
      <c r="J20" s="16"/>
      <c r="K20" s="16"/>
      <c r="L20" s="15" t="s">
        <v>77</v>
      </c>
      <c r="M20" s="16"/>
      <c r="N20" s="15" t="s">
        <v>77</v>
      </c>
      <c r="O20" s="16"/>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row>
    <row r="21" customFormat="false" ht="18" hidden="false" customHeight="true" outlineLevel="0" collapsed="false">
      <c r="A21" s="35" t="s">
        <v>123</v>
      </c>
      <c r="B21" s="36" t="s">
        <v>124</v>
      </c>
      <c r="C21" s="37" t="s">
        <v>121</v>
      </c>
      <c r="D21" s="38"/>
      <c r="E21" s="16"/>
      <c r="F21" s="16"/>
      <c r="G21" s="16"/>
      <c r="H21" s="16"/>
      <c r="I21" s="16"/>
      <c r="J21" s="16"/>
      <c r="K21" s="16"/>
      <c r="L21" s="16"/>
      <c r="M21" s="16"/>
      <c r="N21" s="16"/>
      <c r="O21" s="15" t="s">
        <v>77</v>
      </c>
      <c r="P21" s="19"/>
      <c r="Q21" s="19"/>
      <c r="R21" s="19"/>
      <c r="S21" s="19"/>
      <c r="T21" s="19"/>
      <c r="U21" s="19"/>
      <c r="V21" s="19"/>
      <c r="W21" s="19"/>
      <c r="X21" s="19"/>
      <c r="Y21" s="19"/>
      <c r="Z21" s="19"/>
      <c r="AA21" s="19"/>
      <c r="AB21" s="19"/>
      <c r="AC21" s="19"/>
      <c r="AD21" s="19"/>
      <c r="AE21" s="17" t="s">
        <v>77</v>
      </c>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row>
    <row r="22" customFormat="false" ht="18" hidden="false" customHeight="true" outlineLevel="0" collapsed="false">
      <c r="A22" s="35" t="s">
        <v>125</v>
      </c>
      <c r="B22" s="36" t="s">
        <v>126</v>
      </c>
      <c r="C22" s="37" t="s">
        <v>121</v>
      </c>
      <c r="D22" s="38"/>
      <c r="E22" s="16"/>
      <c r="F22" s="16"/>
      <c r="G22" s="16"/>
      <c r="H22" s="16"/>
      <c r="I22" s="16"/>
      <c r="J22" s="16"/>
      <c r="K22" s="16"/>
      <c r="L22" s="16"/>
      <c r="M22" s="16"/>
      <c r="N22" s="16"/>
      <c r="O22" s="16"/>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7" t="s">
        <v>77</v>
      </c>
      <c r="BB22" s="19"/>
      <c r="BC22" s="19"/>
      <c r="BD22" s="19"/>
      <c r="BE22" s="19"/>
      <c r="BF22" s="19"/>
      <c r="BG22" s="19"/>
      <c r="BH22" s="19"/>
      <c r="BI22" s="19"/>
      <c r="BJ22" s="19"/>
      <c r="BK22" s="19"/>
      <c r="BL22" s="19"/>
      <c r="BM22" s="19"/>
      <c r="BN22" s="19"/>
      <c r="BO22" s="19"/>
      <c r="BP22" s="19"/>
      <c r="BQ22" s="19"/>
    </row>
    <row r="23" customFormat="false" ht="18" hidden="false" customHeight="true" outlineLevel="0" collapsed="false">
      <c r="A23" s="39" t="s">
        <v>127</v>
      </c>
      <c r="B23" s="40" t="s">
        <v>128</v>
      </c>
      <c r="C23" s="41" t="s">
        <v>129</v>
      </c>
      <c r="D23" s="42" t="s">
        <v>130</v>
      </c>
      <c r="E23" s="16"/>
      <c r="F23" s="15"/>
      <c r="G23" s="16"/>
      <c r="H23" s="16"/>
      <c r="I23" s="16"/>
      <c r="J23" s="16"/>
      <c r="K23" s="16"/>
      <c r="L23" s="16"/>
      <c r="M23" s="16"/>
      <c r="N23" s="16"/>
      <c r="O23" s="16"/>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7"/>
      <c r="AV23" s="19"/>
      <c r="AW23" s="19"/>
      <c r="AX23" s="19"/>
      <c r="AY23" s="19"/>
      <c r="AZ23" s="19"/>
      <c r="BA23" s="19"/>
      <c r="BB23" s="19"/>
      <c r="BC23" s="19"/>
      <c r="BD23" s="17"/>
      <c r="BE23" s="19"/>
      <c r="BF23" s="19"/>
      <c r="BG23" s="19"/>
      <c r="BH23" s="19"/>
      <c r="BI23" s="19"/>
      <c r="BJ23" s="17"/>
      <c r="BK23" s="19"/>
      <c r="BL23" s="19"/>
      <c r="BM23" s="19"/>
      <c r="BN23" s="19"/>
      <c r="BO23" s="19"/>
      <c r="BP23" s="19"/>
      <c r="BQ23" s="17"/>
    </row>
    <row r="24" customFormat="false" ht="18" hidden="false" customHeight="true" outlineLevel="0" collapsed="false">
      <c r="A24" s="39" t="s">
        <v>131</v>
      </c>
      <c r="B24" s="40" t="s">
        <v>132</v>
      </c>
      <c r="C24" s="41" t="s">
        <v>129</v>
      </c>
      <c r="D24" s="42"/>
      <c r="E24" s="16"/>
      <c r="F24" s="15" t="s">
        <v>77</v>
      </c>
      <c r="G24" s="16"/>
      <c r="H24" s="16"/>
      <c r="I24" s="16"/>
      <c r="J24" s="16"/>
      <c r="K24" s="16"/>
      <c r="L24" s="16"/>
      <c r="M24" s="16"/>
      <c r="N24" s="16"/>
      <c r="O24" s="16"/>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row>
    <row r="25" customFormat="false" ht="18" hidden="false" customHeight="true" outlineLevel="0" collapsed="false">
      <c r="A25" s="39" t="s">
        <v>133</v>
      </c>
      <c r="B25" s="40" t="s">
        <v>134</v>
      </c>
      <c r="C25" s="41" t="s">
        <v>129</v>
      </c>
      <c r="D25" s="42"/>
      <c r="E25" s="16"/>
      <c r="F25" s="16"/>
      <c r="G25" s="16"/>
      <c r="H25" s="16"/>
      <c r="I25" s="16"/>
      <c r="J25" s="15" t="s">
        <v>77</v>
      </c>
      <c r="K25" s="16"/>
      <c r="L25" s="16"/>
      <c r="M25" s="16"/>
      <c r="N25" s="16"/>
      <c r="O25" s="16"/>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7" t="s">
        <v>77</v>
      </c>
      <c r="AY25" s="19"/>
      <c r="AZ25" s="19"/>
      <c r="BA25" s="19"/>
      <c r="BB25" s="19"/>
      <c r="BC25" s="19"/>
      <c r="BD25" s="19"/>
      <c r="BE25" s="19"/>
      <c r="BF25" s="19"/>
      <c r="BG25" s="19"/>
      <c r="BH25" s="19"/>
      <c r="BI25" s="19"/>
      <c r="BJ25" s="19"/>
      <c r="BK25" s="19"/>
      <c r="BL25" s="19"/>
      <c r="BM25" s="19"/>
      <c r="BN25" s="19"/>
      <c r="BO25" s="19"/>
      <c r="BP25" s="19"/>
      <c r="BQ25" s="19"/>
    </row>
    <row r="26" customFormat="false" ht="18" hidden="false" customHeight="true" outlineLevel="0" collapsed="false">
      <c r="A26" s="39" t="s">
        <v>135</v>
      </c>
      <c r="B26" s="40" t="s">
        <v>136</v>
      </c>
      <c r="C26" s="41" t="s">
        <v>129</v>
      </c>
      <c r="D26" s="42"/>
      <c r="E26" s="16"/>
      <c r="F26" s="16"/>
      <c r="G26" s="16"/>
      <c r="H26" s="16"/>
      <c r="I26" s="16"/>
      <c r="J26" s="16"/>
      <c r="K26" s="16"/>
      <c r="L26" s="16"/>
      <c r="M26" s="16"/>
      <c r="N26" s="15" t="s">
        <v>77</v>
      </c>
      <c r="O26" s="16"/>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row>
    <row r="27" customFormat="false" ht="18" hidden="false" customHeight="true" outlineLevel="0" collapsed="false">
      <c r="A27" s="39" t="s">
        <v>137</v>
      </c>
      <c r="B27" s="40" t="s">
        <v>138</v>
      </c>
      <c r="C27" s="41" t="s">
        <v>129</v>
      </c>
      <c r="D27" s="42"/>
      <c r="E27" s="16"/>
      <c r="F27" s="16"/>
      <c r="G27" s="16"/>
      <c r="H27" s="16"/>
      <c r="I27" s="16"/>
      <c r="J27" s="16"/>
      <c r="K27" s="16"/>
      <c r="L27" s="16"/>
      <c r="M27" s="15" t="s">
        <v>77</v>
      </c>
      <c r="N27" s="16"/>
      <c r="O27" s="16"/>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row>
    <row r="28" customFormat="false" ht="18" hidden="false" customHeight="true" outlineLevel="0" collapsed="false">
      <c r="A28" s="39" t="s">
        <v>139</v>
      </c>
      <c r="B28" s="40" t="s">
        <v>140</v>
      </c>
      <c r="C28" s="41" t="s">
        <v>129</v>
      </c>
      <c r="D28" s="42"/>
      <c r="E28" s="16"/>
      <c r="F28" s="16"/>
      <c r="G28" s="16"/>
      <c r="H28" s="16"/>
      <c r="I28" s="15" t="s">
        <v>77</v>
      </c>
      <c r="J28" s="16"/>
      <c r="K28" s="16"/>
      <c r="L28" s="16"/>
      <c r="M28" s="16"/>
      <c r="N28" s="16"/>
      <c r="O28" s="16"/>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row>
    <row r="29" customFormat="false" ht="18" hidden="false" customHeight="true" outlineLevel="0" collapsed="false">
      <c r="A29" s="43" t="s">
        <v>141</v>
      </c>
      <c r="B29" s="44" t="s">
        <v>141</v>
      </c>
      <c r="C29" s="45" t="s">
        <v>142</v>
      </c>
      <c r="D29" s="46" t="s">
        <v>143</v>
      </c>
      <c r="E29" s="16"/>
      <c r="F29" s="16"/>
      <c r="G29" s="16"/>
      <c r="H29" s="16"/>
      <c r="I29" s="16"/>
      <c r="J29" s="16"/>
      <c r="K29" s="16"/>
      <c r="L29" s="16"/>
      <c r="M29" s="16"/>
      <c r="N29" s="16"/>
      <c r="O29" s="16"/>
      <c r="P29" s="18" t="s">
        <v>144</v>
      </c>
      <c r="Q29" s="18" t="s">
        <v>144</v>
      </c>
      <c r="R29" s="19"/>
      <c r="S29" s="19"/>
      <c r="T29" s="18" t="s">
        <v>144</v>
      </c>
      <c r="U29" s="19"/>
      <c r="V29" s="19"/>
      <c r="W29" s="19"/>
      <c r="X29" s="19"/>
      <c r="Y29" s="18" t="s">
        <v>144</v>
      </c>
      <c r="Z29" s="19"/>
      <c r="AA29" s="19"/>
      <c r="AB29" s="19"/>
      <c r="AC29" s="19"/>
      <c r="AD29" s="19"/>
      <c r="AE29" s="19"/>
      <c r="AF29" s="19"/>
      <c r="AG29" s="19"/>
      <c r="AH29" s="19"/>
      <c r="AI29" s="19"/>
      <c r="AJ29" s="18" t="s">
        <v>144</v>
      </c>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row>
    <row r="30" customFormat="false" ht="18" hidden="false" customHeight="true" outlineLevel="0" collapsed="false">
      <c r="A30" s="43" t="s">
        <v>145</v>
      </c>
      <c r="B30" s="44" t="s">
        <v>145</v>
      </c>
      <c r="C30" s="45" t="s">
        <v>142</v>
      </c>
      <c r="D30" s="46"/>
      <c r="E30" s="16"/>
      <c r="F30" s="16"/>
      <c r="G30" s="16"/>
      <c r="H30" s="16"/>
      <c r="I30" s="16"/>
      <c r="J30" s="16"/>
      <c r="K30" s="16"/>
      <c r="L30" s="16"/>
      <c r="M30" s="16"/>
      <c r="N30" s="16"/>
      <c r="O30" s="16"/>
      <c r="P30" s="18" t="s">
        <v>146</v>
      </c>
      <c r="Q30" s="18" t="s">
        <v>146</v>
      </c>
      <c r="R30" s="19"/>
      <c r="S30" s="19"/>
      <c r="T30" s="18" t="s">
        <v>146</v>
      </c>
      <c r="U30" s="19"/>
      <c r="V30" s="19"/>
      <c r="W30" s="19"/>
      <c r="X30" s="19"/>
      <c r="Y30" s="18" t="s">
        <v>146</v>
      </c>
      <c r="Z30" s="18" t="s">
        <v>144</v>
      </c>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row>
    <row r="31" customFormat="false" ht="18" hidden="false" customHeight="true" outlineLevel="0" collapsed="false">
      <c r="A31" s="43" t="s">
        <v>147</v>
      </c>
      <c r="B31" s="44" t="s">
        <v>147</v>
      </c>
      <c r="C31" s="45" t="s">
        <v>142</v>
      </c>
      <c r="D31" s="46"/>
      <c r="E31" s="16"/>
      <c r="F31" s="16"/>
      <c r="G31" s="16"/>
      <c r="H31" s="16"/>
      <c r="I31" s="16"/>
      <c r="J31" s="16"/>
      <c r="K31" s="16"/>
      <c r="L31" s="16"/>
      <c r="M31" s="16"/>
      <c r="N31" s="16"/>
      <c r="O31" s="16"/>
      <c r="P31" s="19"/>
      <c r="Q31" s="18" t="s">
        <v>146</v>
      </c>
      <c r="R31" s="19"/>
      <c r="S31" s="19"/>
      <c r="T31" s="18"/>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row>
    <row r="32" customFormat="false" ht="18" hidden="false" customHeight="true" outlineLevel="0" collapsed="false">
      <c r="A32" s="43" t="s">
        <v>148</v>
      </c>
      <c r="B32" s="44" t="s">
        <v>148</v>
      </c>
      <c r="C32" s="45" t="s">
        <v>142</v>
      </c>
      <c r="D32" s="46"/>
      <c r="E32" s="16"/>
      <c r="F32" s="16"/>
      <c r="G32" s="16"/>
      <c r="H32" s="16"/>
      <c r="I32" s="16"/>
      <c r="J32" s="16"/>
      <c r="K32" s="16"/>
      <c r="L32" s="16"/>
      <c r="M32" s="16"/>
      <c r="N32" s="16"/>
      <c r="O32" s="16"/>
      <c r="P32" s="19"/>
      <c r="Q32" s="19"/>
      <c r="R32" s="19"/>
      <c r="S32" s="19"/>
      <c r="T32" s="19"/>
      <c r="U32" s="19"/>
      <c r="V32" s="19"/>
      <c r="W32" s="19"/>
      <c r="X32" s="19"/>
      <c r="Y32" s="19"/>
      <c r="Z32" s="19" t="s">
        <v>144</v>
      </c>
      <c r="AA32" s="19"/>
      <c r="AB32" s="19"/>
      <c r="AC32" s="19"/>
      <c r="AD32" s="19"/>
      <c r="AE32" s="19"/>
      <c r="AF32" s="19" t="s">
        <v>144</v>
      </c>
      <c r="AG32" s="19" t="s">
        <v>144</v>
      </c>
      <c r="AH32" s="19"/>
      <c r="AI32" s="19" t="s">
        <v>144</v>
      </c>
      <c r="AJ32" s="19" t="s">
        <v>144</v>
      </c>
      <c r="AK32" s="19" t="s">
        <v>144</v>
      </c>
      <c r="AL32" s="19" t="s">
        <v>144</v>
      </c>
      <c r="AM32" s="18" t="s">
        <v>144</v>
      </c>
      <c r="AN32" s="19"/>
      <c r="AO32" s="19"/>
      <c r="AP32" s="19"/>
      <c r="AQ32" s="19"/>
      <c r="AR32" s="19"/>
      <c r="AS32" s="18" t="s">
        <v>144</v>
      </c>
      <c r="AT32" s="18" t="s">
        <v>144</v>
      </c>
      <c r="AU32" s="19"/>
      <c r="AV32" s="18" t="s">
        <v>144</v>
      </c>
      <c r="AW32" s="19"/>
      <c r="AX32" s="19"/>
      <c r="AY32" s="19"/>
      <c r="AZ32" s="19"/>
      <c r="BA32" s="19"/>
      <c r="BB32" s="19"/>
      <c r="BC32" s="19"/>
      <c r="BD32" s="19"/>
      <c r="BE32" s="19"/>
      <c r="BF32" s="19"/>
      <c r="BG32" s="19"/>
      <c r="BH32" s="19"/>
      <c r="BI32" s="19"/>
      <c r="BJ32" s="19"/>
      <c r="BK32" s="19"/>
      <c r="BL32" s="19"/>
      <c r="BM32" s="19"/>
      <c r="BN32" s="19"/>
      <c r="BO32" s="18" t="s">
        <v>144</v>
      </c>
      <c r="BP32" s="19"/>
      <c r="BQ32" s="19"/>
    </row>
    <row r="33" customFormat="false" ht="18" hidden="false" customHeight="true" outlineLevel="0" collapsed="false">
      <c r="A33" s="47" t="s">
        <v>149</v>
      </c>
      <c r="B33" s="48" t="s">
        <v>149</v>
      </c>
      <c r="C33" s="49" t="s">
        <v>150</v>
      </c>
      <c r="D33" s="50" t="s">
        <v>151</v>
      </c>
      <c r="E33" s="16"/>
      <c r="F33" s="16"/>
      <c r="G33" s="16"/>
      <c r="H33" s="16"/>
      <c r="I33" s="16"/>
      <c r="J33" s="16"/>
      <c r="K33" s="16"/>
      <c r="L33" s="16"/>
      <c r="M33" s="16"/>
      <c r="N33" s="16"/>
      <c r="O33" s="16"/>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7" t="s">
        <v>77</v>
      </c>
    </row>
    <row r="34" customFormat="false" ht="18" hidden="false" customHeight="true" outlineLevel="0" collapsed="false">
      <c r="A34" s="47" t="s">
        <v>152</v>
      </c>
      <c r="B34" s="48" t="s">
        <v>153</v>
      </c>
      <c r="C34" s="49" t="s">
        <v>150</v>
      </c>
      <c r="D34" s="50"/>
      <c r="E34" s="16"/>
      <c r="F34" s="16"/>
      <c r="G34" s="16"/>
      <c r="H34" s="16"/>
      <c r="I34" s="16"/>
      <c r="J34" s="16"/>
      <c r="K34" s="16"/>
      <c r="L34" s="16"/>
      <c r="M34" s="16"/>
      <c r="N34" s="16"/>
      <c r="O34" s="16"/>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8" t="s">
        <v>154</v>
      </c>
      <c r="BF34" s="19"/>
      <c r="BG34" s="19"/>
      <c r="BH34" s="19"/>
      <c r="BI34" s="19"/>
      <c r="BJ34" s="19"/>
      <c r="BK34" s="19"/>
      <c r="BL34" s="19"/>
      <c r="BM34" s="19"/>
      <c r="BN34" s="19"/>
      <c r="BO34" s="19"/>
      <c r="BP34" s="19"/>
      <c r="BQ34" s="19"/>
    </row>
    <row r="35" customFormat="false" ht="18" hidden="false" customHeight="true" outlineLevel="0" collapsed="false">
      <c r="A35" s="47" t="s">
        <v>155</v>
      </c>
      <c r="B35" s="48" t="s">
        <v>156</v>
      </c>
      <c r="C35" s="49" t="s">
        <v>150</v>
      </c>
      <c r="D35" s="50"/>
      <c r="E35" s="16"/>
      <c r="F35" s="16"/>
      <c r="G35" s="16"/>
      <c r="H35" s="16"/>
      <c r="I35" s="16"/>
      <c r="J35" s="16"/>
      <c r="K35" s="16"/>
      <c r="L35" s="16"/>
      <c r="M35" s="16"/>
      <c r="N35" s="16"/>
      <c r="O35" s="16"/>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8" t="s">
        <v>154</v>
      </c>
      <c r="BF35" s="19"/>
      <c r="BG35" s="19"/>
      <c r="BH35" s="19"/>
      <c r="BI35" s="19"/>
      <c r="BJ35" s="19"/>
      <c r="BK35" s="19"/>
      <c r="BL35" s="19"/>
      <c r="BM35" s="19"/>
      <c r="BN35" s="19"/>
      <c r="BO35" s="19"/>
      <c r="BP35" s="19"/>
      <c r="BQ35" s="19"/>
    </row>
    <row r="36" customFormat="false" ht="18" hidden="false" customHeight="true" outlineLevel="0" collapsed="false"/>
    <row r="37" customFormat="false" ht="18" hidden="false" customHeight="true" outlineLevel="0" collapsed="false">
      <c r="A37" s="51" t="s">
        <v>157</v>
      </c>
      <c r="B37" s="52" t="s">
        <v>158</v>
      </c>
      <c r="C37" s="53" t="s">
        <v>159</v>
      </c>
      <c r="D37" s="54" t="s">
        <v>160</v>
      </c>
      <c r="E37" s="53" t="s">
        <v>161</v>
      </c>
      <c r="F37" s="55" t="s">
        <v>162</v>
      </c>
      <c r="G37" s="53" t="s">
        <v>163</v>
      </c>
    </row>
  </sheetData>
  <mergeCells count="13">
    <mergeCell ref="A1:D1"/>
    <mergeCell ref="A2:A3"/>
    <mergeCell ref="B2:B3"/>
    <mergeCell ref="C2:D2"/>
    <mergeCell ref="E2:O2"/>
    <mergeCell ref="P2:BQ2"/>
    <mergeCell ref="D4:D14"/>
    <mergeCell ref="D15:D17"/>
    <mergeCell ref="D18:D19"/>
    <mergeCell ref="D20:D22"/>
    <mergeCell ref="D23:D28"/>
    <mergeCell ref="D29:D32"/>
    <mergeCell ref="D33: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B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0" topLeftCell="B1" activePane="topRight" state="frozen"/>
      <selection pane="topLeft" activeCell="A1" activeCellId="0" sqref="A1"/>
      <selection pane="topRight" activeCell="C19" activeCellId="0" sqref="C19"/>
    </sheetView>
  </sheetViews>
  <sheetFormatPr defaultColWidth="10.6796875" defaultRowHeight="15" zeroHeight="false" outlineLevelRow="0" outlineLevelCol="0"/>
  <cols>
    <col collapsed="false" customWidth="true" hidden="false" outlineLevel="0" max="1" min="1" style="1" width="7.16"/>
    <col collapsed="false" customWidth="true" hidden="false" outlineLevel="0" max="2" min="2" style="1" width="12.83"/>
    <col collapsed="false" customWidth="true" hidden="false" outlineLevel="0" max="3" min="3" style="1" width="11.5"/>
    <col collapsed="false" customWidth="true" hidden="false" outlineLevel="0" max="5" min="5" style="1" width="61.83"/>
    <col collapsed="false" customWidth="true" hidden="false" outlineLevel="0" max="6" min="6" style="1" width="20.16"/>
    <col collapsed="false" customWidth="true" hidden="false" outlineLevel="0" max="7" min="7" style="1" width="7"/>
    <col collapsed="false" customWidth="true" hidden="false" outlineLevel="0" max="8" min="8" style="1" width="6.16"/>
    <col collapsed="false" customWidth="true" hidden="false" outlineLevel="0" max="9" min="9" style="1" width="4.83"/>
    <col collapsed="false" customWidth="true" hidden="false" outlineLevel="0" max="10" min="10" style="1" width="5.52"/>
    <col collapsed="false" customWidth="true" hidden="false" outlineLevel="0" max="11" min="11" style="1" width="14.16"/>
    <col collapsed="false" customWidth="true" hidden="false" outlineLevel="0" max="12" min="12" style="1" width="26.83"/>
    <col collapsed="false" customWidth="true" hidden="false" outlineLevel="0" max="13" min="13" style="1" width="24.16"/>
    <col collapsed="false" customWidth="true" hidden="false" outlineLevel="0" max="14" min="14" style="1" width="17.16"/>
    <col collapsed="false" customWidth="true" hidden="false" outlineLevel="0" max="15" min="15" style="1" width="19.83"/>
    <col collapsed="false" customWidth="true" hidden="false" outlineLevel="0" max="16" min="16" style="1" width="8.83"/>
    <col collapsed="false" customWidth="true" hidden="false" outlineLevel="0" max="19" min="19" style="1" width="8.83"/>
    <col collapsed="false" customWidth="true" hidden="false" outlineLevel="0" max="20" min="20" style="1" width="8.16"/>
    <col collapsed="false" customWidth="true" hidden="false" outlineLevel="0" max="22" min="21" style="1" width="9.52"/>
    <col collapsed="false" customWidth="true" hidden="false" outlineLevel="0" max="23" min="23" style="1" width="8.16"/>
    <col collapsed="false" customWidth="true" hidden="false" outlineLevel="0" max="24" min="24" style="1" width="10.16"/>
    <col collapsed="false" customWidth="true" hidden="false" outlineLevel="0" max="25" min="25" style="1" width="10.51"/>
    <col collapsed="false" customWidth="true" hidden="false" outlineLevel="0" max="26" min="26" style="1" width="12.83"/>
    <col collapsed="false" customWidth="true" hidden="false" outlineLevel="0" max="28" min="27" style="1" width="10.16"/>
    <col collapsed="false" customWidth="true" hidden="false" outlineLevel="0" max="30" min="29" style="1" width="9.16"/>
    <col collapsed="false" customWidth="true" hidden="false" outlineLevel="0" max="31" min="31" style="1" width="10.16"/>
    <col collapsed="false" customWidth="true" hidden="false" outlineLevel="0" max="32" min="32" style="1" width="6.16"/>
    <col collapsed="false" customWidth="true" hidden="false" outlineLevel="0" max="33" min="33" style="1" width="8.16"/>
    <col collapsed="false" customWidth="true" hidden="false" outlineLevel="0" max="34" min="34" style="1" width="9.52"/>
    <col collapsed="false" customWidth="true" hidden="false" outlineLevel="0" max="35" min="35" style="1" width="7.83"/>
    <col collapsed="false" customWidth="true" hidden="false" outlineLevel="0" max="36" min="36" style="1" width="10.16"/>
    <col collapsed="false" customWidth="true" hidden="false" outlineLevel="0" max="37" min="37" style="1" width="9.16"/>
    <col collapsed="false" customWidth="true" hidden="false" outlineLevel="0" max="38" min="38" style="1" width="5.83"/>
    <col collapsed="false" customWidth="true" hidden="false" outlineLevel="0" max="39" min="39" style="1" width="4.83"/>
    <col collapsed="false" customWidth="true" hidden="false" outlineLevel="0" max="40" min="40" style="1" width="5.52"/>
    <col collapsed="false" customWidth="true" hidden="false" outlineLevel="0" max="41" min="41" style="1" width="6.83"/>
    <col collapsed="false" customWidth="true" hidden="false" outlineLevel="0" max="42" min="42" style="1" width="6.16"/>
    <col collapsed="false" customWidth="true" hidden="false" outlineLevel="0" max="43" min="43" style="1" width="9.16"/>
    <col collapsed="false" customWidth="true" hidden="false" outlineLevel="0" max="44" min="44" style="1" width="6.83"/>
    <col collapsed="false" customWidth="true" hidden="false" outlineLevel="0" max="45" min="45" style="1" width="9.16"/>
    <col collapsed="false" customWidth="true" hidden="false" outlineLevel="0" max="48" min="46" style="1" width="5.52"/>
    <col collapsed="false" customWidth="true" hidden="false" outlineLevel="0" max="51" min="49" style="1" width="9.16"/>
    <col collapsed="false" customWidth="true" hidden="false" outlineLevel="0" max="53" min="52" style="1" width="5.52"/>
    <col collapsed="false" customWidth="true" hidden="false" outlineLevel="0" max="54" min="54" style="1" width="7.16"/>
    <col collapsed="false" customWidth="true" hidden="false" outlineLevel="0" max="55" min="55" style="1" width="4.83"/>
    <col collapsed="false" customWidth="true" hidden="false" outlineLevel="0" max="56" min="56" style="1" width="7.83"/>
    <col collapsed="false" customWidth="true" hidden="false" outlineLevel="0" max="58" min="57" style="1" width="5.52"/>
    <col collapsed="false" customWidth="true" hidden="false" outlineLevel="0" max="59" min="59" style="1" width="9.16"/>
    <col collapsed="false" customWidth="true" hidden="false" outlineLevel="0" max="60" min="60" style="1" width="7.5"/>
    <col collapsed="false" customWidth="true" hidden="false" outlineLevel="0" max="61" min="61" style="1" width="4.83"/>
    <col collapsed="false" customWidth="true" hidden="false" outlineLevel="0" max="63" min="62" style="1" width="9.16"/>
    <col collapsed="false" customWidth="true" hidden="false" outlineLevel="0" max="64" min="64" style="1" width="5.52"/>
    <col collapsed="false" customWidth="true" hidden="false" outlineLevel="0" max="65" min="65" style="1" width="4.5"/>
    <col collapsed="false" customWidth="true" hidden="false" outlineLevel="0" max="66" min="66" style="1" width="5.83"/>
    <col collapsed="false" customWidth="true" hidden="false" outlineLevel="0" max="67" min="67" style="1" width="7.83"/>
    <col collapsed="false" customWidth="true" hidden="false" outlineLevel="0" max="68" min="68" style="1" width="7.5"/>
    <col collapsed="false" customWidth="true" hidden="false" outlineLevel="0" max="69" min="69" style="1" width="5.16"/>
    <col collapsed="false" customWidth="true" hidden="false" outlineLevel="0" max="70" min="70" style="1" width="7.83"/>
    <col collapsed="false" customWidth="true" hidden="false" outlineLevel="0" max="71" min="71" style="1" width="4.16"/>
    <col collapsed="false" customWidth="true" hidden="false" outlineLevel="0" max="72" min="72" style="1" width="5.83"/>
    <col collapsed="false" customWidth="true" hidden="false" outlineLevel="0" max="73" min="73" style="1" width="9.16"/>
    <col collapsed="false" customWidth="true" hidden="false" outlineLevel="0" max="74" min="74" style="1" width="5.16"/>
    <col collapsed="false" customWidth="true" hidden="false" outlineLevel="0" max="75" min="75" style="1" width="5.83"/>
    <col collapsed="false" customWidth="true" hidden="false" outlineLevel="0" max="76" min="76" style="1" width="7.16"/>
    <col collapsed="false" customWidth="true" hidden="false" outlineLevel="0" max="77" min="77" style="1" width="4.16"/>
    <col collapsed="false" customWidth="true" hidden="false" outlineLevel="0" max="78" min="78" style="1" width="6.83"/>
    <col collapsed="false" customWidth="true" hidden="false" outlineLevel="0" max="79" min="79" style="1" width="4.83"/>
    <col collapsed="false" customWidth="true" hidden="false" outlineLevel="0" max="80" min="80" style="1" width="7.83"/>
  </cols>
  <sheetData>
    <row r="1" customFormat="false" ht="18.75" hidden="false" customHeight="true" outlineLevel="0" collapsed="false">
      <c r="A1" s="56" t="s">
        <v>164</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row>
    <row r="2" customFormat="false" ht="37.5" hidden="false" customHeight="true" outlineLevel="0" collapsed="false">
      <c r="A2" s="57" t="s">
        <v>165</v>
      </c>
      <c r="B2" s="57"/>
      <c r="C2" s="57"/>
      <c r="D2" s="57"/>
      <c r="E2" s="57"/>
      <c r="F2" s="57"/>
      <c r="G2" s="57"/>
      <c r="H2" s="57"/>
      <c r="I2" s="57"/>
      <c r="J2" s="57"/>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row>
    <row r="3" customFormat="false" ht="15" hidden="false" customHeight="true" outlineLevel="0" collapsed="false">
      <c r="A3" s="59" t="s">
        <v>1</v>
      </c>
      <c r="B3" s="60" t="s">
        <v>2</v>
      </c>
      <c r="C3" s="61" t="s">
        <v>3</v>
      </c>
      <c r="D3" s="62" t="s">
        <v>166</v>
      </c>
      <c r="E3" s="62"/>
      <c r="F3" s="63" t="s">
        <v>167</v>
      </c>
      <c r="G3" s="64" t="s">
        <v>168</v>
      </c>
      <c r="H3" s="64"/>
      <c r="I3" s="64"/>
      <c r="J3" s="64"/>
      <c r="K3" s="65" t="s">
        <v>169</v>
      </c>
      <c r="L3" s="65"/>
      <c r="M3" s="65"/>
      <c r="N3" s="65"/>
      <c r="O3" s="65"/>
      <c r="P3" s="66" t="s">
        <v>4</v>
      </c>
      <c r="Q3" s="66"/>
      <c r="R3" s="66"/>
      <c r="S3" s="66"/>
      <c r="T3" s="66"/>
      <c r="U3" s="66"/>
      <c r="V3" s="66"/>
      <c r="W3" s="66"/>
      <c r="X3" s="66"/>
      <c r="Y3" s="66"/>
      <c r="Z3" s="66"/>
      <c r="AA3" s="67" t="s">
        <v>5</v>
      </c>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row>
    <row r="4" customFormat="false" ht="48" hidden="false" customHeight="true" outlineLevel="0" collapsed="false">
      <c r="A4" s="59"/>
      <c r="B4" s="60"/>
      <c r="C4" s="61"/>
      <c r="D4" s="62"/>
      <c r="E4" s="62"/>
      <c r="F4" s="63"/>
      <c r="G4" s="68" t="s">
        <v>170</v>
      </c>
      <c r="H4" s="69" t="s">
        <v>171</v>
      </c>
      <c r="I4" s="69" t="s">
        <v>172</v>
      </c>
      <c r="J4" s="70" t="s">
        <v>173</v>
      </c>
      <c r="K4" s="71" t="s">
        <v>174</v>
      </c>
      <c r="L4" s="72" t="s">
        <v>175</v>
      </c>
      <c r="M4" s="72" t="s">
        <v>176</v>
      </c>
      <c r="N4" s="72" t="s">
        <v>177</v>
      </c>
      <c r="O4" s="73" t="s">
        <v>178</v>
      </c>
      <c r="P4" s="74" t="s">
        <v>8</v>
      </c>
      <c r="Q4" s="9" t="s">
        <v>9</v>
      </c>
      <c r="R4" s="9" t="s">
        <v>10</v>
      </c>
      <c r="S4" s="9" t="s">
        <v>11</v>
      </c>
      <c r="T4" s="9" t="s">
        <v>12</v>
      </c>
      <c r="U4" s="9" t="s">
        <v>13</v>
      </c>
      <c r="V4" s="9" t="s">
        <v>14</v>
      </c>
      <c r="W4" s="9" t="s">
        <v>15</v>
      </c>
      <c r="X4" s="9" t="s">
        <v>16</v>
      </c>
      <c r="Y4" s="9" t="s">
        <v>17</v>
      </c>
      <c r="Z4" s="75" t="s">
        <v>18</v>
      </c>
      <c r="AA4" s="76" t="s">
        <v>19</v>
      </c>
      <c r="AB4" s="10" t="s">
        <v>20</v>
      </c>
      <c r="AC4" s="10" t="s">
        <v>21</v>
      </c>
      <c r="AD4" s="10" t="s">
        <v>22</v>
      </c>
      <c r="AE4" s="10" t="s">
        <v>23</v>
      </c>
      <c r="AF4" s="10" t="s">
        <v>24</v>
      </c>
      <c r="AG4" s="10" t="s">
        <v>25</v>
      </c>
      <c r="AH4" s="10" t="s">
        <v>26</v>
      </c>
      <c r="AI4" s="10" t="s">
        <v>27</v>
      </c>
      <c r="AJ4" s="10" t="s">
        <v>28</v>
      </c>
      <c r="AK4" s="10" t="s">
        <v>29</v>
      </c>
      <c r="AL4" s="10" t="s">
        <v>30</v>
      </c>
      <c r="AM4" s="10" t="s">
        <v>31</v>
      </c>
      <c r="AN4" s="10" t="s">
        <v>32</v>
      </c>
      <c r="AO4" s="10" t="s">
        <v>33</v>
      </c>
      <c r="AP4" s="10" t="s">
        <v>34</v>
      </c>
      <c r="AQ4" s="10" t="s">
        <v>35</v>
      </c>
      <c r="AR4" s="10" t="s">
        <v>36</v>
      </c>
      <c r="AS4" s="10" t="s">
        <v>37</v>
      </c>
      <c r="AT4" s="10" t="s">
        <v>38</v>
      </c>
      <c r="AU4" s="10" t="s">
        <v>39</v>
      </c>
      <c r="AV4" s="10" t="s">
        <v>40</v>
      </c>
      <c r="AW4" s="10" t="s">
        <v>41</v>
      </c>
      <c r="AX4" s="10" t="s">
        <v>42</v>
      </c>
      <c r="AY4" s="10" t="s">
        <v>43</v>
      </c>
      <c r="AZ4" s="10" t="s">
        <v>44</v>
      </c>
      <c r="BA4" s="10" t="s">
        <v>45</v>
      </c>
      <c r="BB4" s="10" t="s">
        <v>46</v>
      </c>
      <c r="BC4" s="10" t="s">
        <v>47</v>
      </c>
      <c r="BD4" s="10" t="s">
        <v>48</v>
      </c>
      <c r="BE4" s="10" t="s">
        <v>49</v>
      </c>
      <c r="BF4" s="10" t="s">
        <v>50</v>
      </c>
      <c r="BG4" s="10" t="s">
        <v>51</v>
      </c>
      <c r="BH4" s="10" t="s">
        <v>52</v>
      </c>
      <c r="BI4" s="10" t="s">
        <v>53</v>
      </c>
      <c r="BJ4" s="10" t="s">
        <v>54</v>
      </c>
      <c r="BK4" s="10" t="s">
        <v>55</v>
      </c>
      <c r="BL4" s="10" t="s">
        <v>56</v>
      </c>
      <c r="BM4" s="10" t="s">
        <v>57</v>
      </c>
      <c r="BN4" s="10" t="s">
        <v>58</v>
      </c>
      <c r="BO4" s="10" t="s">
        <v>59</v>
      </c>
      <c r="BP4" s="10" t="s">
        <v>60</v>
      </c>
      <c r="BQ4" s="10" t="s">
        <v>61</v>
      </c>
      <c r="BR4" s="10" t="s">
        <v>62</v>
      </c>
      <c r="BS4" s="10" t="s">
        <v>63</v>
      </c>
      <c r="BT4" s="10" t="s">
        <v>64</v>
      </c>
      <c r="BU4" s="10" t="s">
        <v>65</v>
      </c>
      <c r="BV4" s="10" t="s">
        <v>66</v>
      </c>
      <c r="BW4" s="10" t="s">
        <v>67</v>
      </c>
      <c r="BX4" s="10" t="s">
        <v>68</v>
      </c>
      <c r="BY4" s="10" t="s">
        <v>69</v>
      </c>
      <c r="BZ4" s="10" t="s">
        <v>70</v>
      </c>
      <c r="CA4" s="10" t="s">
        <v>71</v>
      </c>
      <c r="CB4" s="77" t="s">
        <v>72</v>
      </c>
    </row>
    <row r="5" customFormat="false" ht="15" hidden="false" customHeight="true" outlineLevel="0" collapsed="false">
      <c r="A5" s="59"/>
      <c r="B5" s="60"/>
      <c r="C5" s="61"/>
      <c r="D5" s="62"/>
      <c r="E5" s="62"/>
      <c r="F5" s="63"/>
      <c r="G5" s="68"/>
      <c r="H5" s="69"/>
      <c r="I5" s="69"/>
      <c r="J5" s="70"/>
      <c r="K5" s="78" t="s">
        <v>179</v>
      </c>
      <c r="L5" s="79" t="s">
        <v>180</v>
      </c>
      <c r="M5" s="79" t="s">
        <v>181</v>
      </c>
      <c r="N5" s="79" t="s">
        <v>182</v>
      </c>
      <c r="O5" s="80" t="s">
        <v>183</v>
      </c>
      <c r="P5" s="81" t="s">
        <v>184</v>
      </c>
      <c r="Q5" s="82" t="s">
        <v>184</v>
      </c>
      <c r="R5" s="82" t="s">
        <v>184</v>
      </c>
      <c r="S5" s="82" t="s">
        <v>184</v>
      </c>
      <c r="T5" s="82" t="s">
        <v>184</v>
      </c>
      <c r="U5" s="82" t="s">
        <v>184</v>
      </c>
      <c r="V5" s="83" t="n">
        <v>0</v>
      </c>
      <c r="W5" s="83" t="n">
        <v>0</v>
      </c>
      <c r="X5" s="84" t="s">
        <v>184</v>
      </c>
      <c r="Y5" s="84" t="s">
        <v>184</v>
      </c>
      <c r="Z5" s="85" t="n">
        <v>0</v>
      </c>
      <c r="AA5" s="86" t="s">
        <v>184</v>
      </c>
      <c r="AB5" s="87" t="s">
        <v>184</v>
      </c>
      <c r="AC5" s="87" t="s">
        <v>185</v>
      </c>
      <c r="AD5" s="87" t="s">
        <v>184</v>
      </c>
      <c r="AE5" s="87" t="s">
        <v>184</v>
      </c>
      <c r="AF5" s="87" t="s">
        <v>184</v>
      </c>
      <c r="AG5" s="87" t="s">
        <v>184</v>
      </c>
      <c r="AH5" s="87" t="s">
        <v>184</v>
      </c>
      <c r="AI5" s="87" t="s">
        <v>184</v>
      </c>
      <c r="AJ5" s="87" t="s">
        <v>184</v>
      </c>
      <c r="AK5" s="87" t="s">
        <v>184</v>
      </c>
      <c r="AL5" s="87" t="s">
        <v>184</v>
      </c>
      <c r="AM5" s="87" t="s">
        <v>184</v>
      </c>
      <c r="AN5" s="87" t="s">
        <v>184</v>
      </c>
      <c r="AO5" s="87" t="s">
        <v>184</v>
      </c>
      <c r="AP5" s="87" t="s">
        <v>184</v>
      </c>
      <c r="AQ5" s="87" t="s">
        <v>184</v>
      </c>
      <c r="AR5" s="87" t="s">
        <v>184</v>
      </c>
      <c r="AS5" s="87" t="s">
        <v>184</v>
      </c>
      <c r="AT5" s="87" t="s">
        <v>184</v>
      </c>
      <c r="AU5" s="87" t="s">
        <v>184</v>
      </c>
      <c r="AV5" s="87" t="s">
        <v>184</v>
      </c>
      <c r="AW5" s="87" t="s">
        <v>184</v>
      </c>
      <c r="AX5" s="87" t="s">
        <v>184</v>
      </c>
      <c r="AY5" s="87" t="s">
        <v>184</v>
      </c>
      <c r="AZ5" s="87" t="s">
        <v>184</v>
      </c>
      <c r="BA5" s="87" t="s">
        <v>184</v>
      </c>
      <c r="BB5" s="87" t="s">
        <v>184</v>
      </c>
      <c r="BC5" s="87" t="s">
        <v>184</v>
      </c>
      <c r="BD5" s="87" t="s">
        <v>184</v>
      </c>
      <c r="BE5" s="87" t="s">
        <v>184</v>
      </c>
      <c r="BF5" s="87" t="s">
        <v>184</v>
      </c>
      <c r="BG5" s="87" t="s">
        <v>185</v>
      </c>
      <c r="BH5" s="87" t="s">
        <v>184</v>
      </c>
      <c r="BI5" s="87" t="s">
        <v>184</v>
      </c>
      <c r="BJ5" s="87" t="s">
        <v>184</v>
      </c>
      <c r="BK5" s="87" t="s">
        <v>184</v>
      </c>
      <c r="BL5" s="87" t="s">
        <v>184</v>
      </c>
      <c r="BM5" s="88" t="n">
        <v>0</v>
      </c>
      <c r="BN5" s="87" t="s">
        <v>184</v>
      </c>
      <c r="BO5" s="87" t="s">
        <v>184</v>
      </c>
      <c r="BP5" s="87" t="s">
        <v>184</v>
      </c>
      <c r="BQ5" s="87" t="s">
        <v>184</v>
      </c>
      <c r="BR5" s="87" t="s">
        <v>184</v>
      </c>
      <c r="BS5" s="87" t="s">
        <v>184</v>
      </c>
      <c r="BT5" s="87" t="s">
        <v>184</v>
      </c>
      <c r="BU5" s="87" t="s">
        <v>184</v>
      </c>
      <c r="BV5" s="87" t="s">
        <v>184</v>
      </c>
      <c r="BW5" s="87" t="s">
        <v>184</v>
      </c>
      <c r="BX5" s="87" t="s">
        <v>184</v>
      </c>
      <c r="BY5" s="87" t="s">
        <v>184</v>
      </c>
      <c r="BZ5" s="87" t="s">
        <v>184</v>
      </c>
      <c r="CA5" s="87" t="s">
        <v>184</v>
      </c>
      <c r="CB5" s="89" t="s">
        <v>184</v>
      </c>
    </row>
    <row r="6" customFormat="false" ht="15" hidden="false" customHeight="true" outlineLevel="0" collapsed="false">
      <c r="A6" s="59"/>
      <c r="B6" s="60"/>
      <c r="C6" s="61"/>
      <c r="D6" s="62"/>
      <c r="E6" s="62"/>
      <c r="F6" s="63"/>
      <c r="G6" s="68"/>
      <c r="H6" s="69"/>
      <c r="I6" s="69"/>
      <c r="J6" s="70"/>
      <c r="K6" s="78"/>
      <c r="L6" s="79"/>
      <c r="M6" s="79"/>
      <c r="N6" s="79"/>
      <c r="O6" s="80"/>
      <c r="P6" s="90" t="n">
        <v>2020</v>
      </c>
      <c r="Q6" s="83" t="n">
        <v>2026</v>
      </c>
      <c r="R6" s="83" t="n">
        <v>2025</v>
      </c>
      <c r="S6" s="83" t="n">
        <v>2024</v>
      </c>
      <c r="T6" s="83" t="n">
        <v>2026</v>
      </c>
      <c r="U6" s="83" t="n">
        <v>2022</v>
      </c>
      <c r="V6" s="83" t="n">
        <v>2025</v>
      </c>
      <c r="W6" s="83" t="n">
        <v>2024</v>
      </c>
      <c r="X6" s="83" t="n">
        <v>2022</v>
      </c>
      <c r="Y6" s="83" t="n">
        <v>2025</v>
      </c>
      <c r="Z6" s="85" t="n">
        <v>2026</v>
      </c>
      <c r="AA6" s="91" t="n">
        <v>2023</v>
      </c>
      <c r="AB6" s="88" t="n">
        <v>2025</v>
      </c>
      <c r="AC6" s="88" t="n">
        <v>2024</v>
      </c>
      <c r="AD6" s="88" t="n">
        <v>2024</v>
      </c>
      <c r="AE6" s="88" t="n">
        <v>2024</v>
      </c>
      <c r="AF6" s="88" t="n">
        <v>2024</v>
      </c>
      <c r="AG6" s="88" t="n">
        <v>2024</v>
      </c>
      <c r="AH6" s="88" t="n">
        <v>2024</v>
      </c>
      <c r="AI6" s="88" t="n">
        <v>2024</v>
      </c>
      <c r="AJ6" s="88" t="n">
        <v>2023</v>
      </c>
      <c r="AK6" s="88" t="n">
        <v>2023</v>
      </c>
      <c r="AL6" s="88" t="n">
        <v>2023</v>
      </c>
      <c r="AM6" s="88" t="n">
        <v>2022</v>
      </c>
      <c r="AN6" s="88" t="n">
        <v>2021</v>
      </c>
      <c r="AO6" s="88" t="n">
        <v>2021</v>
      </c>
      <c r="AP6" s="88" t="n">
        <v>2021</v>
      </c>
      <c r="AQ6" s="88" t="n">
        <v>2021</v>
      </c>
      <c r="AR6" s="88" t="n">
        <v>2020</v>
      </c>
      <c r="AS6" s="88" t="n">
        <v>2019</v>
      </c>
      <c r="AT6" s="88" t="n">
        <v>2019</v>
      </c>
      <c r="AU6" s="88" t="n">
        <v>2018</v>
      </c>
      <c r="AV6" s="88" t="n">
        <v>2018</v>
      </c>
      <c r="AW6" s="88" t="n">
        <v>2018</v>
      </c>
      <c r="AX6" s="88" t="n">
        <v>2019</v>
      </c>
      <c r="AY6" s="88" t="n">
        <v>2023</v>
      </c>
      <c r="AZ6" s="88" t="n">
        <v>2022</v>
      </c>
      <c r="BA6" s="88" t="n">
        <v>2023</v>
      </c>
      <c r="BB6" s="88" t="n">
        <v>2023</v>
      </c>
      <c r="BC6" s="88" t="n">
        <v>2023</v>
      </c>
      <c r="BD6" s="88" t="n">
        <v>2024</v>
      </c>
      <c r="BE6" s="88" t="n">
        <v>2024</v>
      </c>
      <c r="BF6" s="88" t="n">
        <v>2020</v>
      </c>
      <c r="BG6" s="88" t="n">
        <v>2026</v>
      </c>
      <c r="BH6" s="88" t="n">
        <v>2022</v>
      </c>
      <c r="BI6" s="88" t="n">
        <v>2025</v>
      </c>
      <c r="BJ6" s="88" t="n">
        <v>2024</v>
      </c>
      <c r="BK6" s="88" t="n">
        <v>2025</v>
      </c>
      <c r="BL6" s="88" t="n">
        <v>2025</v>
      </c>
      <c r="BM6" s="88" t="n">
        <v>2025</v>
      </c>
      <c r="BN6" s="88" t="n">
        <v>2020</v>
      </c>
      <c r="BO6" s="88" t="n">
        <v>2016</v>
      </c>
      <c r="BP6" s="88" t="n">
        <v>2016</v>
      </c>
      <c r="BQ6" s="88" t="n">
        <v>2014</v>
      </c>
      <c r="BR6" s="88" t="n">
        <v>2010</v>
      </c>
      <c r="BS6" s="88" t="n">
        <v>2010</v>
      </c>
      <c r="BT6" s="88" t="n">
        <v>2005</v>
      </c>
      <c r="BU6" s="88" t="n">
        <v>2001</v>
      </c>
      <c r="BV6" s="88" t="n">
        <v>2017</v>
      </c>
      <c r="BW6" s="88" t="n">
        <v>2016</v>
      </c>
      <c r="BX6" s="88" t="n">
        <v>2009</v>
      </c>
      <c r="BY6" s="88" t="n">
        <v>2019</v>
      </c>
      <c r="BZ6" s="88" t="n">
        <v>2016</v>
      </c>
      <c r="CA6" s="88" t="n">
        <v>2011</v>
      </c>
      <c r="CB6" s="92" t="n">
        <v>2012</v>
      </c>
    </row>
    <row r="7" customFormat="false" ht="25.5" hidden="false" customHeight="true" outlineLevel="0" collapsed="false">
      <c r="A7" s="93" t="s">
        <v>73</v>
      </c>
      <c r="B7" s="12" t="s">
        <v>74</v>
      </c>
      <c r="C7" s="13" t="s">
        <v>75</v>
      </c>
      <c r="D7" s="94" t="s">
        <v>186</v>
      </c>
      <c r="E7" s="95" t="s">
        <v>187</v>
      </c>
      <c r="F7" s="96" t="s">
        <v>188</v>
      </c>
      <c r="G7" s="97" t="n">
        <f aca="false">COUNTA(P7:Z7)</f>
        <v>7</v>
      </c>
      <c r="H7" s="98" t="n">
        <f aca="false">SUMPRODUCT(--ISNUMBER(SEARCH("IMP",AA7:CB7)))</f>
        <v>28</v>
      </c>
      <c r="I7" s="99" t="n">
        <f aca="false">COUNTA(K7:O7)</f>
        <v>4</v>
      </c>
      <c r="J7" s="100" t="n">
        <f aca="false">G7+H7+I7</f>
        <v>39</v>
      </c>
      <c r="K7" s="101" t="s">
        <v>189</v>
      </c>
      <c r="L7" s="102" t="s">
        <v>190</v>
      </c>
      <c r="M7" s="33"/>
      <c r="N7" s="102" t="s">
        <v>191</v>
      </c>
      <c r="O7" s="103" t="s">
        <v>192</v>
      </c>
      <c r="P7" s="104" t="s">
        <v>77</v>
      </c>
      <c r="Q7" s="105"/>
      <c r="R7" s="106"/>
      <c r="S7" s="105" t="s">
        <v>77</v>
      </c>
      <c r="T7" s="105" t="s">
        <v>77</v>
      </c>
      <c r="U7" s="105" t="s">
        <v>77</v>
      </c>
      <c r="V7" s="105" t="s">
        <v>77</v>
      </c>
      <c r="W7" s="16"/>
      <c r="X7" s="16"/>
      <c r="Y7" s="105" t="s">
        <v>77</v>
      </c>
      <c r="Z7" s="107" t="s">
        <v>77</v>
      </c>
      <c r="AA7" s="108" t="s">
        <v>78</v>
      </c>
      <c r="AB7" s="109" t="s">
        <v>78</v>
      </c>
      <c r="AC7" s="109" t="s">
        <v>77</v>
      </c>
      <c r="AD7" s="110" t="s">
        <v>79</v>
      </c>
      <c r="AE7" s="109" t="s">
        <v>78</v>
      </c>
      <c r="AF7" s="19"/>
      <c r="AG7" s="109" t="s">
        <v>80</v>
      </c>
      <c r="AH7" s="111" t="s">
        <v>81</v>
      </c>
      <c r="AI7" s="109" t="s">
        <v>77</v>
      </c>
      <c r="AJ7" s="109" t="s">
        <v>78</v>
      </c>
      <c r="AK7" s="109" t="s">
        <v>82</v>
      </c>
      <c r="AL7" s="109" t="s">
        <v>77</v>
      </c>
      <c r="AM7" s="109" t="s">
        <v>77</v>
      </c>
      <c r="AN7" s="109" t="s">
        <v>77</v>
      </c>
      <c r="AO7" s="109" t="s">
        <v>77</v>
      </c>
      <c r="AP7" s="19"/>
      <c r="AQ7" s="109" t="s">
        <v>82</v>
      </c>
      <c r="AR7" s="19"/>
      <c r="AS7" s="106"/>
      <c r="AT7" s="19"/>
      <c r="AU7" s="109" t="s">
        <v>77</v>
      </c>
      <c r="AV7" s="19"/>
      <c r="AW7" s="19"/>
      <c r="AX7" s="19"/>
      <c r="AY7" s="109" t="s">
        <v>77</v>
      </c>
      <c r="AZ7" s="109" t="s">
        <v>77</v>
      </c>
      <c r="BA7" s="109" t="s">
        <v>77</v>
      </c>
      <c r="BB7" s="109" t="s">
        <v>77</v>
      </c>
      <c r="BC7" s="109" t="s">
        <v>77</v>
      </c>
      <c r="BD7" s="19"/>
      <c r="BE7" s="109" t="s">
        <v>77</v>
      </c>
      <c r="BF7" s="19"/>
      <c r="BG7" s="109" t="s">
        <v>82</v>
      </c>
      <c r="BH7" s="19"/>
      <c r="BI7" s="109" t="s">
        <v>77</v>
      </c>
      <c r="BJ7" s="109" t="s">
        <v>82</v>
      </c>
      <c r="BK7" s="109" t="s">
        <v>77</v>
      </c>
      <c r="BL7" s="109" t="s">
        <v>77</v>
      </c>
      <c r="BM7" s="109" t="s">
        <v>77</v>
      </c>
      <c r="BN7" s="19"/>
      <c r="BO7" s="19"/>
      <c r="BP7" s="106"/>
      <c r="BQ7" s="109" t="s">
        <v>77</v>
      </c>
      <c r="BR7" s="19"/>
      <c r="BS7" s="106"/>
      <c r="BT7" s="19"/>
      <c r="BU7" s="19"/>
      <c r="BV7" s="19"/>
      <c r="BW7" s="109" t="s">
        <v>77</v>
      </c>
      <c r="BX7" s="19"/>
      <c r="BY7" s="19"/>
      <c r="BZ7" s="106"/>
      <c r="CA7" s="106"/>
      <c r="CB7" s="112"/>
    </row>
    <row r="8" customFormat="false" ht="39" hidden="false" customHeight="true" outlineLevel="0" collapsed="false">
      <c r="A8" s="93" t="s">
        <v>83</v>
      </c>
      <c r="B8" s="12" t="s">
        <v>84</v>
      </c>
      <c r="C8" s="13" t="s">
        <v>75</v>
      </c>
      <c r="D8" s="94" t="s">
        <v>186</v>
      </c>
      <c r="E8" s="95" t="s">
        <v>193</v>
      </c>
      <c r="F8" s="96" t="s">
        <v>188</v>
      </c>
      <c r="G8" s="97" t="n">
        <f aca="false">COUNTA(P8:Z8)</f>
        <v>9</v>
      </c>
      <c r="H8" s="98" t="n">
        <f aca="false">SUMPRODUCT(--ISNUMBER(SEARCH("IMP",AA8:CB8)))</f>
        <v>20</v>
      </c>
      <c r="I8" s="99" t="n">
        <f aca="false">COUNTA(K8:O8)</f>
        <v>4</v>
      </c>
      <c r="J8" s="100" t="n">
        <f aca="false">G8+H8+I8</f>
        <v>33</v>
      </c>
      <c r="K8" s="101" t="s">
        <v>189</v>
      </c>
      <c r="L8" s="102" t="s">
        <v>194</v>
      </c>
      <c r="M8" s="33"/>
      <c r="N8" s="102" t="s">
        <v>195</v>
      </c>
      <c r="O8" s="103" t="s">
        <v>196</v>
      </c>
      <c r="P8" s="104" t="s">
        <v>77</v>
      </c>
      <c r="Q8" s="105" t="s">
        <v>77</v>
      </c>
      <c r="R8" s="106"/>
      <c r="S8" s="105" t="s">
        <v>77</v>
      </c>
      <c r="T8" s="105" t="s">
        <v>77</v>
      </c>
      <c r="U8" s="105" t="s">
        <v>77</v>
      </c>
      <c r="V8" s="105" t="s">
        <v>77</v>
      </c>
      <c r="W8" s="16"/>
      <c r="X8" s="105" t="s">
        <v>77</v>
      </c>
      <c r="Y8" s="105" t="s">
        <v>77</v>
      </c>
      <c r="Z8" s="107" t="s">
        <v>77</v>
      </c>
      <c r="AA8" s="113"/>
      <c r="AB8" s="19"/>
      <c r="AC8" s="109" t="s">
        <v>77</v>
      </c>
      <c r="AD8" s="19"/>
      <c r="AE8" s="19"/>
      <c r="AF8" s="109" t="s">
        <v>77</v>
      </c>
      <c r="AG8" s="19"/>
      <c r="AH8" s="110" t="s">
        <v>79</v>
      </c>
      <c r="AI8" s="109" t="s">
        <v>77</v>
      </c>
      <c r="AJ8" s="19"/>
      <c r="AK8" s="109" t="s">
        <v>77</v>
      </c>
      <c r="AL8" s="110" t="s">
        <v>79</v>
      </c>
      <c r="AM8" s="19"/>
      <c r="AN8" s="19"/>
      <c r="AO8" s="19"/>
      <c r="AP8" s="109" t="s">
        <v>77</v>
      </c>
      <c r="AQ8" s="109" t="s">
        <v>77</v>
      </c>
      <c r="AR8" s="19"/>
      <c r="AS8" s="106"/>
      <c r="AT8" s="109" t="s">
        <v>77</v>
      </c>
      <c r="AU8" s="19"/>
      <c r="AV8" s="109" t="s">
        <v>77</v>
      </c>
      <c r="AW8" s="19"/>
      <c r="AX8" s="19"/>
      <c r="AY8" s="109" t="s">
        <v>77</v>
      </c>
      <c r="AZ8" s="19"/>
      <c r="BA8" s="109" t="s">
        <v>77</v>
      </c>
      <c r="BB8" s="19"/>
      <c r="BC8" s="109" t="s">
        <v>77</v>
      </c>
      <c r="BD8" s="19"/>
      <c r="BE8" s="109" t="s">
        <v>77</v>
      </c>
      <c r="BF8" s="19"/>
      <c r="BG8" s="19"/>
      <c r="BH8" s="19"/>
      <c r="BI8" s="109" t="s">
        <v>77</v>
      </c>
      <c r="BJ8" s="19"/>
      <c r="BK8" s="109" t="s">
        <v>77</v>
      </c>
      <c r="BL8" s="109" t="s">
        <v>77</v>
      </c>
      <c r="BM8" s="19"/>
      <c r="BN8" s="109" t="s">
        <v>77</v>
      </c>
      <c r="BO8" s="19"/>
      <c r="BP8" s="106"/>
      <c r="BQ8" s="19"/>
      <c r="BR8" s="109" t="s">
        <v>77</v>
      </c>
      <c r="BS8" s="106"/>
      <c r="BT8" s="19"/>
      <c r="BU8" s="19"/>
      <c r="BV8" s="109" t="s">
        <v>77</v>
      </c>
      <c r="BW8" s="19"/>
      <c r="BX8" s="109" t="s">
        <v>77</v>
      </c>
      <c r="BY8" s="109" t="s">
        <v>77</v>
      </c>
      <c r="BZ8" s="106"/>
      <c r="CA8" s="106"/>
      <c r="CB8" s="112"/>
    </row>
    <row r="9" customFormat="false" ht="39" hidden="false" customHeight="true" outlineLevel="0" collapsed="false">
      <c r="A9" s="93" t="s">
        <v>85</v>
      </c>
      <c r="B9" s="12" t="s">
        <v>86</v>
      </c>
      <c r="C9" s="13" t="s">
        <v>75</v>
      </c>
      <c r="D9" s="94" t="s">
        <v>186</v>
      </c>
      <c r="E9" s="95" t="s">
        <v>197</v>
      </c>
      <c r="F9" s="96" t="s">
        <v>188</v>
      </c>
      <c r="G9" s="97" t="n">
        <f aca="false">COUNTA(P9:Z9)</f>
        <v>3</v>
      </c>
      <c r="H9" s="98" t="n">
        <f aca="false">SUMPRODUCT(--ISNUMBER(SEARCH("IMP",AA9:CB9)))</f>
        <v>20</v>
      </c>
      <c r="I9" s="99" t="n">
        <f aca="false">COUNTA(K9:O9)</f>
        <v>2</v>
      </c>
      <c r="J9" s="100" t="n">
        <f aca="false">G9+H9+I9</f>
        <v>25</v>
      </c>
      <c r="K9" s="114"/>
      <c r="L9" s="102" t="s">
        <v>198</v>
      </c>
      <c r="M9" s="33"/>
      <c r="N9" s="102" t="s">
        <v>199</v>
      </c>
      <c r="O9" s="115"/>
      <c r="P9" s="116" t="s">
        <v>77</v>
      </c>
      <c r="Q9" s="16"/>
      <c r="R9" s="106"/>
      <c r="S9" s="105" t="s">
        <v>77</v>
      </c>
      <c r="T9" s="16"/>
      <c r="U9" s="16"/>
      <c r="V9" s="16"/>
      <c r="W9" s="16"/>
      <c r="X9" s="16"/>
      <c r="Y9" s="16"/>
      <c r="Z9" s="107" t="s">
        <v>77</v>
      </c>
      <c r="AA9" s="108" t="s">
        <v>87</v>
      </c>
      <c r="AB9" s="109" t="s">
        <v>87</v>
      </c>
      <c r="AC9" s="109" t="s">
        <v>82</v>
      </c>
      <c r="AD9" s="109" t="s">
        <v>82</v>
      </c>
      <c r="AE9" s="109" t="s">
        <v>87</v>
      </c>
      <c r="AF9" s="19"/>
      <c r="AG9" s="111" t="s">
        <v>88</v>
      </c>
      <c r="AH9" s="19"/>
      <c r="AI9" s="19"/>
      <c r="AJ9" s="109" t="s">
        <v>87</v>
      </c>
      <c r="AK9" s="105" t="s">
        <v>77</v>
      </c>
      <c r="AL9" s="105" t="s">
        <v>77</v>
      </c>
      <c r="AM9" s="105" t="s">
        <v>77</v>
      </c>
      <c r="AN9" s="111" t="s">
        <v>88</v>
      </c>
      <c r="AO9" s="19"/>
      <c r="AP9" s="19"/>
      <c r="AQ9" s="19"/>
      <c r="AR9" s="109" t="s">
        <v>77</v>
      </c>
      <c r="AS9" s="108" t="s">
        <v>88</v>
      </c>
      <c r="AT9" s="111" t="s">
        <v>88</v>
      </c>
      <c r="AU9" s="111"/>
      <c r="AV9" s="111" t="s">
        <v>88</v>
      </c>
      <c r="AW9" s="109" t="s">
        <v>82</v>
      </c>
      <c r="AX9" s="109" t="s">
        <v>82</v>
      </c>
      <c r="AY9" s="109" t="s">
        <v>82</v>
      </c>
      <c r="AZ9" s="111" t="s">
        <v>88</v>
      </c>
      <c r="BA9" s="19"/>
      <c r="BB9" s="109" t="s">
        <v>77</v>
      </c>
      <c r="BC9" s="19"/>
      <c r="BD9" s="109" t="s">
        <v>78</v>
      </c>
      <c r="BE9" s="111" t="s">
        <v>88</v>
      </c>
      <c r="BF9" s="19"/>
      <c r="BG9" s="19"/>
      <c r="BH9" s="19"/>
      <c r="BI9" s="19"/>
      <c r="BJ9" s="109" t="s">
        <v>77</v>
      </c>
      <c r="BK9" s="109" t="s">
        <v>82</v>
      </c>
      <c r="BL9" s="111" t="s">
        <v>88</v>
      </c>
      <c r="BM9" s="109" t="s">
        <v>77</v>
      </c>
      <c r="BN9" s="19"/>
      <c r="BO9" s="19"/>
      <c r="BP9" s="106"/>
      <c r="BQ9" s="19"/>
      <c r="BR9" s="19"/>
      <c r="BS9" s="106"/>
      <c r="BT9" s="109" t="s">
        <v>77</v>
      </c>
      <c r="BU9" s="19"/>
      <c r="BV9" s="19"/>
      <c r="BW9" s="19"/>
      <c r="BX9" s="109" t="s">
        <v>77</v>
      </c>
      <c r="BY9" s="19"/>
      <c r="BZ9" s="106"/>
      <c r="CA9" s="106"/>
      <c r="CB9" s="112"/>
    </row>
    <row r="10" customFormat="false" ht="39" hidden="false" customHeight="true" outlineLevel="0" collapsed="false">
      <c r="A10" s="93" t="s">
        <v>89</v>
      </c>
      <c r="B10" s="12" t="s">
        <v>90</v>
      </c>
      <c r="C10" s="13" t="s">
        <v>75</v>
      </c>
      <c r="D10" s="117" t="s">
        <v>200</v>
      </c>
      <c r="E10" s="118" t="s">
        <v>201</v>
      </c>
      <c r="F10" s="96" t="s">
        <v>188</v>
      </c>
      <c r="G10" s="97" t="n">
        <f aca="false">COUNTA(P10:Z10)</f>
        <v>1</v>
      </c>
      <c r="H10" s="98" t="n">
        <f aca="false">SUMPRODUCT(--ISNUMBER(SEARCH("IMP",AA10:CB10)))</f>
        <v>10</v>
      </c>
      <c r="I10" s="99" t="n">
        <f aca="false">COUNTA(K10:O10)</f>
        <v>1</v>
      </c>
      <c r="J10" s="100" t="n">
        <f aca="false">G10+H10+I10</f>
        <v>12</v>
      </c>
      <c r="K10" s="114"/>
      <c r="L10" s="33"/>
      <c r="M10" s="33"/>
      <c r="N10" s="102" t="s">
        <v>202</v>
      </c>
      <c r="O10" s="115"/>
      <c r="P10" s="116"/>
      <c r="Q10" s="16"/>
      <c r="R10" s="106"/>
      <c r="S10" s="105" t="s">
        <v>77</v>
      </c>
      <c r="T10" s="16"/>
      <c r="U10" s="16"/>
      <c r="V10" s="16"/>
      <c r="W10" s="16"/>
      <c r="X10" s="16"/>
      <c r="Y10" s="16"/>
      <c r="Z10" s="119"/>
      <c r="AA10" s="113"/>
      <c r="AB10" s="19"/>
      <c r="AC10" s="19"/>
      <c r="AD10" s="19"/>
      <c r="AE10" s="19"/>
      <c r="AF10" s="19"/>
      <c r="AG10" s="109" t="s">
        <v>77</v>
      </c>
      <c r="AH10" s="19"/>
      <c r="AI10" s="19"/>
      <c r="AJ10" s="19"/>
      <c r="AK10" s="109" t="s">
        <v>77</v>
      </c>
      <c r="AL10" s="19"/>
      <c r="AM10" s="109" t="s">
        <v>77</v>
      </c>
      <c r="AN10" s="19"/>
      <c r="AO10" s="19"/>
      <c r="AP10" s="19"/>
      <c r="AQ10" s="19"/>
      <c r="AR10" s="19"/>
      <c r="AS10" s="106"/>
      <c r="AT10" s="19"/>
      <c r="AU10" s="109" t="s">
        <v>77</v>
      </c>
      <c r="AV10" s="19"/>
      <c r="AW10" s="19"/>
      <c r="AX10" s="19"/>
      <c r="AY10" s="109" t="s">
        <v>77</v>
      </c>
      <c r="AZ10" s="19"/>
      <c r="BA10" s="19"/>
      <c r="BB10" s="109" t="s">
        <v>77</v>
      </c>
      <c r="BC10" s="19"/>
      <c r="BD10" s="19"/>
      <c r="BE10" s="19"/>
      <c r="BF10" s="19"/>
      <c r="BG10" s="19"/>
      <c r="BH10" s="19"/>
      <c r="BI10" s="109" t="s">
        <v>77</v>
      </c>
      <c r="BJ10" s="109" t="s">
        <v>77</v>
      </c>
      <c r="BK10" s="109" t="s">
        <v>77</v>
      </c>
      <c r="BL10" s="19"/>
      <c r="BM10" s="19"/>
      <c r="BN10" s="19"/>
      <c r="BO10" s="19"/>
      <c r="BP10" s="106"/>
      <c r="BQ10" s="19"/>
      <c r="BR10" s="19"/>
      <c r="BS10" s="106"/>
      <c r="BT10" s="19"/>
      <c r="BU10" s="19"/>
      <c r="BV10" s="19"/>
      <c r="BW10" s="109" t="s">
        <v>77</v>
      </c>
      <c r="BX10" s="19"/>
      <c r="BY10" s="19"/>
      <c r="BZ10" s="106"/>
      <c r="CA10" s="106"/>
      <c r="CB10" s="112"/>
    </row>
    <row r="11" customFormat="false" ht="39" hidden="false" customHeight="true" outlineLevel="0" collapsed="false">
      <c r="A11" s="93" t="s">
        <v>91</v>
      </c>
      <c r="B11" s="12" t="s">
        <v>92</v>
      </c>
      <c r="C11" s="13" t="s">
        <v>75</v>
      </c>
      <c r="D11" s="94" t="s">
        <v>186</v>
      </c>
      <c r="E11" s="95" t="s">
        <v>203</v>
      </c>
      <c r="F11" s="96" t="s">
        <v>188</v>
      </c>
      <c r="G11" s="97" t="n">
        <f aca="false">COUNTA(P11:Z11)</f>
        <v>0</v>
      </c>
      <c r="H11" s="98" t="n">
        <f aca="false">SUMPRODUCT(--ISNUMBER(SEARCH("IMP",AA11:CB11)))</f>
        <v>1</v>
      </c>
      <c r="I11" s="99" t="n">
        <f aca="false">COUNTA(K11:O11)</f>
        <v>2</v>
      </c>
      <c r="J11" s="100" t="n">
        <f aca="false">G11+H11+I11</f>
        <v>3</v>
      </c>
      <c r="K11" s="101" t="s">
        <v>189</v>
      </c>
      <c r="L11" s="102" t="s">
        <v>204</v>
      </c>
      <c r="M11" s="33"/>
      <c r="N11" s="33"/>
      <c r="O11" s="115"/>
      <c r="P11" s="116"/>
      <c r="Q11" s="16"/>
      <c r="R11" s="106"/>
      <c r="S11" s="16"/>
      <c r="T11" s="16"/>
      <c r="U11" s="16"/>
      <c r="V11" s="16"/>
      <c r="W11" s="16"/>
      <c r="X11" s="16"/>
      <c r="Y11" s="16"/>
      <c r="Z11" s="119"/>
      <c r="AA11" s="113" t="s">
        <v>79</v>
      </c>
      <c r="AB11" s="19"/>
      <c r="AC11" s="19"/>
      <c r="AD11" s="19"/>
      <c r="AE11" s="19"/>
      <c r="AF11" s="19"/>
      <c r="AG11" s="19"/>
      <c r="AH11" s="110" t="s">
        <v>79</v>
      </c>
      <c r="AI11" s="19"/>
      <c r="AJ11" s="19"/>
      <c r="AK11" s="19"/>
      <c r="AL11" s="19"/>
      <c r="AM11" s="19"/>
      <c r="AN11" s="19"/>
      <c r="AO11" s="19"/>
      <c r="AP11" s="19"/>
      <c r="AQ11" s="19"/>
      <c r="AR11" s="19"/>
      <c r="AS11" s="106"/>
      <c r="AT11" s="19"/>
      <c r="AU11" s="19"/>
      <c r="AV11" s="19"/>
      <c r="AW11" s="19"/>
      <c r="AX11" s="19"/>
      <c r="AY11" s="19"/>
      <c r="AZ11" s="19"/>
      <c r="BA11" s="109" t="s">
        <v>77</v>
      </c>
      <c r="BB11" s="19"/>
      <c r="BC11" s="19"/>
      <c r="BD11" s="19"/>
      <c r="BE11" s="19"/>
      <c r="BF11" s="19"/>
      <c r="BG11" s="19"/>
      <c r="BH11" s="19"/>
      <c r="BI11" s="19"/>
      <c r="BJ11" s="19"/>
      <c r="BK11" s="19"/>
      <c r="BL11" s="19"/>
      <c r="BM11" s="19"/>
      <c r="BN11" s="19"/>
      <c r="BO11" s="19"/>
      <c r="BP11" s="106"/>
      <c r="BQ11" s="19"/>
      <c r="BR11" s="19"/>
      <c r="BS11" s="106"/>
      <c r="BT11" s="19"/>
      <c r="BU11" s="19"/>
      <c r="BV11" s="19"/>
      <c r="BW11" s="19"/>
      <c r="BX11" s="19"/>
      <c r="BY11" s="19"/>
      <c r="BZ11" s="106"/>
      <c r="CA11" s="106"/>
      <c r="CB11" s="112"/>
    </row>
    <row r="12" customFormat="false" ht="39" hidden="false" customHeight="true" outlineLevel="0" collapsed="false">
      <c r="A12" s="93" t="s">
        <v>101</v>
      </c>
      <c r="B12" s="12" t="s">
        <v>102</v>
      </c>
      <c r="C12" s="13" t="s">
        <v>75</v>
      </c>
      <c r="D12" s="94" t="s">
        <v>186</v>
      </c>
      <c r="E12" s="120" t="s">
        <v>205</v>
      </c>
      <c r="F12" s="96" t="s">
        <v>188</v>
      </c>
      <c r="G12" s="97" t="n">
        <f aca="false">COUNTA(P12:Z12)</f>
        <v>0</v>
      </c>
      <c r="H12" s="98" t="n">
        <f aca="false">SUMPRODUCT(--ISNUMBER(SEARCH("IMP",AA12:CB12)))</f>
        <v>4</v>
      </c>
      <c r="I12" s="99" t="n">
        <f aca="false">COUNTA(K12:O12)</f>
        <v>0</v>
      </c>
      <c r="J12" s="100" t="n">
        <f aca="false">G12+H12+I12</f>
        <v>4</v>
      </c>
      <c r="K12" s="114"/>
      <c r="L12" s="33"/>
      <c r="M12" s="33"/>
      <c r="N12" s="33"/>
      <c r="O12" s="115"/>
      <c r="P12" s="116"/>
      <c r="Q12" s="16"/>
      <c r="R12" s="106"/>
      <c r="S12" s="16"/>
      <c r="T12" s="16"/>
      <c r="U12" s="16"/>
      <c r="V12" s="16"/>
      <c r="W12" s="16"/>
      <c r="X12" s="16"/>
      <c r="Y12" s="16"/>
      <c r="Z12" s="119"/>
      <c r="AA12" s="113"/>
      <c r="AB12" s="19"/>
      <c r="AC12" s="19"/>
      <c r="AD12" s="19"/>
      <c r="AE12" s="19"/>
      <c r="AF12" s="19"/>
      <c r="AG12" s="19"/>
      <c r="AH12" s="19"/>
      <c r="AI12" s="19"/>
      <c r="AJ12" s="19"/>
      <c r="AK12" s="19"/>
      <c r="AL12" s="19"/>
      <c r="AM12" s="19"/>
      <c r="AN12" s="19"/>
      <c r="AO12" s="19"/>
      <c r="AP12" s="19"/>
      <c r="AQ12" s="19"/>
      <c r="AR12" s="19"/>
      <c r="AS12" s="106"/>
      <c r="AT12" s="19"/>
      <c r="AU12" s="19"/>
      <c r="AV12" s="19"/>
      <c r="AW12" s="19"/>
      <c r="AX12" s="19"/>
      <c r="AY12" s="19"/>
      <c r="AZ12" s="19"/>
      <c r="BA12" s="19"/>
      <c r="BB12" s="19"/>
      <c r="BC12" s="19"/>
      <c r="BD12" s="19"/>
      <c r="BE12" s="19"/>
      <c r="BF12" s="109" t="s">
        <v>77</v>
      </c>
      <c r="BG12" s="19"/>
      <c r="BH12" s="19"/>
      <c r="BI12" s="19"/>
      <c r="BJ12" s="19"/>
      <c r="BK12" s="19"/>
      <c r="BL12" s="19"/>
      <c r="BM12" s="19"/>
      <c r="BN12" s="19"/>
      <c r="BO12" s="109" t="s">
        <v>78</v>
      </c>
      <c r="BP12" s="106"/>
      <c r="BQ12" s="19"/>
      <c r="BR12" s="19"/>
      <c r="BS12" s="106"/>
      <c r="BT12" s="19"/>
      <c r="BU12" s="109" t="s">
        <v>77</v>
      </c>
      <c r="BV12" s="19"/>
      <c r="BW12" s="19"/>
      <c r="BX12" s="19"/>
      <c r="BY12" s="19"/>
      <c r="BZ12" s="106"/>
      <c r="CA12" s="106"/>
      <c r="CB12" s="121" t="s">
        <v>77</v>
      </c>
    </row>
    <row r="13" customFormat="false" ht="39" hidden="false" customHeight="true" outlineLevel="0" collapsed="false">
      <c r="A13" s="93" t="s">
        <v>103</v>
      </c>
      <c r="B13" s="12" t="s">
        <v>104</v>
      </c>
      <c r="C13" s="13" t="s">
        <v>75</v>
      </c>
      <c r="D13" s="94" t="s">
        <v>186</v>
      </c>
      <c r="E13" s="120" t="s">
        <v>206</v>
      </c>
      <c r="F13" s="96" t="s">
        <v>188</v>
      </c>
      <c r="G13" s="97" t="n">
        <f aca="false">COUNTA(P13:Z13)</f>
        <v>0</v>
      </c>
      <c r="H13" s="98" t="n">
        <f aca="false">SUMPRODUCT(--ISNUMBER(SEARCH("IMP",AA13:CB13)))</f>
        <v>1</v>
      </c>
      <c r="I13" s="99" t="n">
        <f aca="false">COUNTA(K13:O13)</f>
        <v>0</v>
      </c>
      <c r="J13" s="100" t="n">
        <f aca="false">G13+H13+I13</f>
        <v>1</v>
      </c>
      <c r="K13" s="114"/>
      <c r="L13" s="33"/>
      <c r="M13" s="33"/>
      <c r="N13" s="33"/>
      <c r="O13" s="115"/>
      <c r="P13" s="116"/>
      <c r="Q13" s="16"/>
      <c r="R13" s="106"/>
      <c r="S13" s="16"/>
      <c r="T13" s="16"/>
      <c r="U13" s="16"/>
      <c r="V13" s="16"/>
      <c r="W13" s="16"/>
      <c r="X13" s="16"/>
      <c r="Y13" s="16"/>
      <c r="Z13" s="119"/>
      <c r="AA13" s="113" t="s">
        <v>79</v>
      </c>
      <c r="AB13" s="19"/>
      <c r="AC13" s="19"/>
      <c r="AD13" s="19"/>
      <c r="AE13" s="19"/>
      <c r="AF13" s="19"/>
      <c r="AG13" s="19"/>
      <c r="AH13" s="19"/>
      <c r="AI13" s="19"/>
      <c r="AJ13" s="19"/>
      <c r="AK13" s="19"/>
      <c r="AL13" s="19"/>
      <c r="AM13" s="19"/>
      <c r="AN13" s="19"/>
      <c r="AO13" s="19"/>
      <c r="AP13" s="19"/>
      <c r="AQ13" s="19"/>
      <c r="AR13" s="19"/>
      <c r="AS13" s="106"/>
      <c r="AT13" s="19"/>
      <c r="AU13" s="19"/>
      <c r="AV13" s="19"/>
      <c r="AW13" s="19"/>
      <c r="AX13" s="19"/>
      <c r="AY13" s="19"/>
      <c r="AZ13" s="19"/>
      <c r="BA13" s="19"/>
      <c r="BB13" s="19"/>
      <c r="BC13" s="19"/>
      <c r="BD13" s="19"/>
      <c r="BE13" s="19"/>
      <c r="BF13" s="19"/>
      <c r="BG13" s="19"/>
      <c r="BH13" s="19"/>
      <c r="BI13" s="19"/>
      <c r="BJ13" s="19"/>
      <c r="BK13" s="19"/>
      <c r="BL13" s="19"/>
      <c r="BM13" s="19"/>
      <c r="BN13" s="19"/>
      <c r="BO13" s="109" t="s">
        <v>78</v>
      </c>
      <c r="BP13" s="106"/>
      <c r="BQ13" s="19"/>
      <c r="BR13" s="19"/>
      <c r="BS13" s="106"/>
      <c r="BT13" s="19"/>
      <c r="BU13" s="19"/>
      <c r="BV13" s="19"/>
      <c r="BW13" s="19"/>
      <c r="BX13" s="19"/>
      <c r="BY13" s="19"/>
      <c r="BZ13" s="106"/>
      <c r="CA13" s="106"/>
      <c r="CB13" s="112"/>
    </row>
    <row r="14" customFormat="false" ht="39" hidden="false" customHeight="true" outlineLevel="0" collapsed="false">
      <c r="A14" s="122" t="s">
        <v>105</v>
      </c>
      <c r="B14" s="22" t="s">
        <v>106</v>
      </c>
      <c r="C14" s="23" t="s">
        <v>107</v>
      </c>
      <c r="D14" s="94" t="s">
        <v>186</v>
      </c>
      <c r="E14" s="120" t="s">
        <v>207</v>
      </c>
      <c r="F14" s="123" t="s">
        <v>208</v>
      </c>
      <c r="G14" s="97" t="n">
        <f aca="false">COUNTA(P14:Z14)</f>
        <v>3</v>
      </c>
      <c r="H14" s="98" t="n">
        <f aca="false">SUMPRODUCT(--ISNUMBER(SEARCH("IMP",AA14:CB14)))</f>
        <v>1</v>
      </c>
      <c r="I14" s="99" t="n">
        <f aca="false">COUNTA(K14:O14)</f>
        <v>0</v>
      </c>
      <c r="J14" s="100" t="n">
        <f aca="false">G14+H14+I14</f>
        <v>4</v>
      </c>
      <c r="K14" s="114"/>
      <c r="L14" s="33"/>
      <c r="M14" s="33"/>
      <c r="N14" s="33"/>
      <c r="O14" s="115"/>
      <c r="P14" s="116"/>
      <c r="Q14" s="16"/>
      <c r="R14" s="106"/>
      <c r="S14" s="16"/>
      <c r="T14" s="16"/>
      <c r="U14" s="16"/>
      <c r="V14" s="105" t="s">
        <v>77</v>
      </c>
      <c r="W14" s="105" t="s">
        <v>77</v>
      </c>
      <c r="X14" s="16"/>
      <c r="Y14" s="105" t="s">
        <v>77</v>
      </c>
      <c r="Z14" s="119"/>
      <c r="AA14" s="113"/>
      <c r="AB14" s="19"/>
      <c r="AC14" s="19"/>
      <c r="AD14" s="19"/>
      <c r="AE14" s="19"/>
      <c r="AF14" s="19"/>
      <c r="AG14" s="19"/>
      <c r="AH14" s="19"/>
      <c r="AI14" s="19"/>
      <c r="AJ14" s="19"/>
      <c r="AK14" s="19"/>
      <c r="AL14" s="19"/>
      <c r="AM14" s="19"/>
      <c r="AN14" s="19"/>
      <c r="AO14" s="19"/>
      <c r="AP14" s="19"/>
      <c r="AQ14" s="19"/>
      <c r="AR14" s="19"/>
      <c r="AS14" s="106"/>
      <c r="AT14" s="19"/>
      <c r="AU14" s="19"/>
      <c r="AV14" s="19"/>
      <c r="AW14" s="111" t="s">
        <v>88</v>
      </c>
      <c r="AX14" s="19"/>
      <c r="AY14" s="19"/>
      <c r="AZ14" s="19"/>
      <c r="BA14" s="19"/>
      <c r="BB14" s="19"/>
      <c r="BC14" s="19"/>
      <c r="BD14" s="19"/>
      <c r="BE14" s="19"/>
      <c r="BF14" s="19"/>
      <c r="BG14" s="19"/>
      <c r="BH14" s="109" t="s">
        <v>77</v>
      </c>
      <c r="BI14" s="19"/>
      <c r="BJ14" s="19"/>
      <c r="BK14" s="19"/>
      <c r="BL14" s="19"/>
      <c r="BM14" s="19"/>
      <c r="BN14" s="19"/>
      <c r="BO14" s="19"/>
      <c r="BP14" s="106"/>
      <c r="BQ14" s="19"/>
      <c r="BR14" s="19"/>
      <c r="BS14" s="106"/>
      <c r="BT14" s="19"/>
      <c r="BU14" s="19"/>
      <c r="BV14" s="19"/>
      <c r="BW14" s="19"/>
      <c r="BX14" s="19"/>
      <c r="BY14" s="19"/>
      <c r="BZ14" s="106"/>
      <c r="CA14" s="106"/>
      <c r="CB14" s="112"/>
    </row>
    <row r="15" customFormat="false" ht="39" hidden="false" customHeight="true" outlineLevel="0" collapsed="false">
      <c r="A15" s="122" t="s">
        <v>109</v>
      </c>
      <c r="B15" s="22" t="s">
        <v>110</v>
      </c>
      <c r="C15" s="23" t="s">
        <v>107</v>
      </c>
      <c r="D15" s="94" t="s">
        <v>186</v>
      </c>
      <c r="E15" s="120" t="s">
        <v>209</v>
      </c>
      <c r="F15" s="123" t="s">
        <v>208</v>
      </c>
      <c r="G15" s="97" t="n">
        <f aca="false">COUNTA(P15:Z15)</f>
        <v>2</v>
      </c>
      <c r="H15" s="98" t="n">
        <f aca="false">SUMPRODUCT(--ISNUMBER(SEARCH("IMP",AA15:CB15)))</f>
        <v>1</v>
      </c>
      <c r="I15" s="99" t="n">
        <f aca="false">COUNTA(K15:O15)</f>
        <v>0</v>
      </c>
      <c r="J15" s="100" t="n">
        <f aca="false">G15+H15+I15</f>
        <v>3</v>
      </c>
      <c r="K15" s="114"/>
      <c r="L15" s="33"/>
      <c r="M15" s="33"/>
      <c r="N15" s="33"/>
      <c r="O15" s="115"/>
      <c r="P15" s="116"/>
      <c r="Q15" s="16"/>
      <c r="R15" s="106"/>
      <c r="S15" s="16"/>
      <c r="T15" s="16"/>
      <c r="U15" s="16"/>
      <c r="V15" s="105" t="s">
        <v>77</v>
      </c>
      <c r="W15" s="16"/>
      <c r="X15" s="105" t="s">
        <v>77</v>
      </c>
      <c r="Y15" s="16"/>
      <c r="Z15" s="119"/>
      <c r="AA15" s="113"/>
      <c r="AB15" s="19"/>
      <c r="AC15" s="19"/>
      <c r="AD15" s="19"/>
      <c r="AE15" s="19"/>
      <c r="AF15" s="19"/>
      <c r="AG15" s="19"/>
      <c r="AH15" s="19"/>
      <c r="AI15" s="19"/>
      <c r="AJ15" s="19"/>
      <c r="AK15" s="19"/>
      <c r="AL15" s="19"/>
      <c r="AM15" s="19"/>
      <c r="AN15" s="19"/>
      <c r="AO15" s="19"/>
      <c r="AP15" s="19"/>
      <c r="AQ15" s="19"/>
      <c r="AR15" s="19"/>
      <c r="AS15" s="106"/>
      <c r="AT15" s="19"/>
      <c r="AU15" s="19"/>
      <c r="AV15" s="19"/>
      <c r="AW15" s="19"/>
      <c r="AX15" s="19"/>
      <c r="AY15" s="19"/>
      <c r="AZ15" s="19"/>
      <c r="BA15" s="19"/>
      <c r="BB15" s="19"/>
      <c r="BC15" s="19"/>
      <c r="BD15" s="19"/>
      <c r="BE15" s="19"/>
      <c r="BF15" s="19"/>
      <c r="BG15" s="19"/>
      <c r="BH15" s="109" t="s">
        <v>77</v>
      </c>
      <c r="BI15" s="19"/>
      <c r="BJ15" s="19"/>
      <c r="BK15" s="19"/>
      <c r="BL15" s="19"/>
      <c r="BM15" s="19"/>
      <c r="BN15" s="19"/>
      <c r="BO15" s="19"/>
      <c r="BP15" s="106"/>
      <c r="BQ15" s="19"/>
      <c r="BR15" s="19"/>
      <c r="BS15" s="106"/>
      <c r="BT15" s="19"/>
      <c r="BU15" s="19"/>
      <c r="BV15" s="19"/>
      <c r="BW15" s="19"/>
      <c r="BX15" s="19"/>
      <c r="BY15" s="19"/>
      <c r="BZ15" s="106"/>
      <c r="CA15" s="106"/>
      <c r="CB15" s="112"/>
    </row>
    <row r="16" customFormat="false" ht="51.75" hidden="false" customHeight="true" outlineLevel="0" collapsed="false">
      <c r="A16" s="122" t="s">
        <v>111</v>
      </c>
      <c r="B16" s="22" t="s">
        <v>112</v>
      </c>
      <c r="C16" s="23" t="s">
        <v>107</v>
      </c>
      <c r="D16" s="94" t="s">
        <v>186</v>
      </c>
      <c r="E16" s="120" t="s">
        <v>210</v>
      </c>
      <c r="F16" s="123" t="s">
        <v>208</v>
      </c>
      <c r="G16" s="97" t="n">
        <f aca="false">COUNTA(P16:Z16)</f>
        <v>1</v>
      </c>
      <c r="H16" s="98" t="n">
        <f aca="false">SUMPRODUCT(--ISNUMBER(SEARCH("IMP",AA16:CB16)))</f>
        <v>1</v>
      </c>
      <c r="I16" s="99" t="n">
        <f aca="false">COUNTA(K16:O16)</f>
        <v>0</v>
      </c>
      <c r="J16" s="100" t="n">
        <f aca="false">G16+H16+I16</f>
        <v>2</v>
      </c>
      <c r="K16" s="114"/>
      <c r="L16" s="33"/>
      <c r="M16" s="33"/>
      <c r="N16" s="33"/>
      <c r="O16" s="115"/>
      <c r="P16" s="116"/>
      <c r="Q16" s="16"/>
      <c r="R16" s="106"/>
      <c r="S16" s="16"/>
      <c r="T16" s="16"/>
      <c r="U16" s="16"/>
      <c r="V16" s="16"/>
      <c r="W16" s="16"/>
      <c r="X16" s="105" t="s">
        <v>77</v>
      </c>
      <c r="Y16" s="16"/>
      <c r="Z16" s="119"/>
      <c r="AA16" s="113"/>
      <c r="AB16" s="19"/>
      <c r="AC16" s="19"/>
      <c r="AD16" s="19"/>
      <c r="AE16" s="19"/>
      <c r="AF16" s="19"/>
      <c r="AG16" s="19"/>
      <c r="AH16" s="19"/>
      <c r="AI16" s="19"/>
      <c r="AJ16" s="19"/>
      <c r="AK16" s="19"/>
      <c r="AL16" s="19"/>
      <c r="AM16" s="19"/>
      <c r="AN16" s="19"/>
      <c r="AO16" s="19"/>
      <c r="AP16" s="19"/>
      <c r="AQ16" s="19"/>
      <c r="AR16" s="19"/>
      <c r="AS16" s="106"/>
      <c r="AT16" s="19"/>
      <c r="AU16" s="19"/>
      <c r="AV16" s="19"/>
      <c r="AW16" s="19"/>
      <c r="AX16" s="19"/>
      <c r="AY16" s="19"/>
      <c r="AZ16" s="19"/>
      <c r="BA16" s="19"/>
      <c r="BB16" s="19"/>
      <c r="BC16" s="19"/>
      <c r="BD16" s="19"/>
      <c r="BE16" s="19"/>
      <c r="BF16" s="19"/>
      <c r="BG16" s="19"/>
      <c r="BH16" s="109" t="s">
        <v>77</v>
      </c>
      <c r="BI16" s="19"/>
      <c r="BJ16" s="19"/>
      <c r="BK16" s="19"/>
      <c r="BL16" s="19"/>
      <c r="BM16" s="19"/>
      <c r="BN16" s="19"/>
      <c r="BO16" s="19"/>
      <c r="BP16" s="106"/>
      <c r="BQ16" s="19"/>
      <c r="BR16" s="19"/>
      <c r="BS16" s="106"/>
      <c r="BT16" s="19"/>
      <c r="BU16" s="19"/>
      <c r="BV16" s="19"/>
      <c r="BW16" s="19"/>
      <c r="BX16" s="19"/>
      <c r="BY16" s="19"/>
      <c r="BZ16" s="106"/>
      <c r="CA16" s="106"/>
      <c r="CB16" s="112"/>
    </row>
    <row r="17" customFormat="false" ht="78" hidden="false" customHeight="true" outlineLevel="0" collapsed="false">
      <c r="A17" s="124" t="s">
        <v>113</v>
      </c>
      <c r="B17" s="26" t="s">
        <v>114</v>
      </c>
      <c r="C17" s="27" t="s">
        <v>115</v>
      </c>
      <c r="D17" s="125" t="s">
        <v>211</v>
      </c>
      <c r="E17" s="126" t="s">
        <v>212</v>
      </c>
      <c r="F17" s="96" t="s">
        <v>188</v>
      </c>
      <c r="G17" s="97" t="n">
        <f aca="false">COUNTA(P17:Z17)</f>
        <v>0</v>
      </c>
      <c r="H17" s="98" t="n">
        <f aca="false">SUMPRODUCT(--ISNUMBER(SEARCH("IMP",AA17:CB17)))</f>
        <v>6</v>
      </c>
      <c r="I17" s="99" t="n">
        <f aca="false">COUNTA(K17:O17)</f>
        <v>1</v>
      </c>
      <c r="J17" s="100" t="n">
        <f aca="false">G17+H17+I17</f>
        <v>7</v>
      </c>
      <c r="K17" s="114"/>
      <c r="L17" s="33"/>
      <c r="M17" s="33"/>
      <c r="N17" s="102" t="s">
        <v>213</v>
      </c>
      <c r="O17" s="115"/>
      <c r="P17" s="116"/>
      <c r="Q17" s="16"/>
      <c r="R17" s="106"/>
      <c r="S17" s="16"/>
      <c r="T17" s="16"/>
      <c r="U17" s="16"/>
      <c r="V17" s="16"/>
      <c r="W17" s="16"/>
      <c r="X17" s="16"/>
      <c r="Y17" s="16"/>
      <c r="Z17" s="119"/>
      <c r="AA17" s="113"/>
      <c r="AB17" s="19"/>
      <c r="AC17" s="19"/>
      <c r="AD17" s="19"/>
      <c r="AE17" s="19"/>
      <c r="AF17" s="19"/>
      <c r="AG17" s="19"/>
      <c r="AH17" s="19"/>
      <c r="AI17" s="109" t="s">
        <v>77</v>
      </c>
      <c r="AJ17" s="19"/>
      <c r="AK17" s="19"/>
      <c r="AL17" s="109" t="s">
        <v>77</v>
      </c>
      <c r="AM17" s="19"/>
      <c r="AN17" s="109" t="s">
        <v>77</v>
      </c>
      <c r="AO17" s="19"/>
      <c r="AP17" s="19"/>
      <c r="AQ17" s="19"/>
      <c r="AR17" s="19"/>
      <c r="AS17" s="106"/>
      <c r="AT17" s="19"/>
      <c r="AU17" s="19"/>
      <c r="AV17" s="19"/>
      <c r="AW17" s="19"/>
      <c r="AX17" s="19"/>
      <c r="AY17" s="19"/>
      <c r="AZ17" s="19"/>
      <c r="BA17" s="19"/>
      <c r="BB17" s="19"/>
      <c r="BC17" s="109" t="s">
        <v>77</v>
      </c>
      <c r="BD17" s="19"/>
      <c r="BE17" s="127" t="s">
        <v>77</v>
      </c>
      <c r="BF17" s="19"/>
      <c r="BG17" s="19"/>
      <c r="BH17" s="19"/>
      <c r="BI17" s="19"/>
      <c r="BJ17" s="19"/>
      <c r="BK17" s="109" t="s">
        <v>77</v>
      </c>
      <c r="BL17" s="19"/>
      <c r="BM17" s="19"/>
      <c r="BN17" s="19"/>
      <c r="BO17" s="19"/>
      <c r="BP17" s="106"/>
      <c r="BQ17" s="19"/>
      <c r="BR17" s="19"/>
      <c r="BS17" s="106"/>
      <c r="BT17" s="19"/>
      <c r="BU17" s="19"/>
      <c r="BV17" s="19"/>
      <c r="BW17" s="19"/>
      <c r="BX17" s="19"/>
      <c r="BY17" s="19"/>
      <c r="BZ17" s="106"/>
      <c r="CA17" s="106"/>
      <c r="CB17" s="112"/>
    </row>
    <row r="18" customFormat="false" ht="51.75" hidden="false" customHeight="true" outlineLevel="0" collapsed="false">
      <c r="A18" s="128" t="s">
        <v>117</v>
      </c>
      <c r="B18" s="31" t="s">
        <v>118</v>
      </c>
      <c r="C18" s="32" t="s">
        <v>115</v>
      </c>
      <c r="D18" s="125" t="s">
        <v>211</v>
      </c>
      <c r="E18" s="126" t="s">
        <v>214</v>
      </c>
      <c r="F18" s="96" t="s">
        <v>188</v>
      </c>
      <c r="G18" s="97" t="n">
        <f aca="false">COUNTA(P18:Z18)</f>
        <v>0</v>
      </c>
      <c r="H18" s="98" t="n">
        <f aca="false">SUMPRODUCT(--ISNUMBER(SEARCH("IMP",AA18:CB18)))</f>
        <v>3</v>
      </c>
      <c r="I18" s="99" t="n">
        <f aca="false">COUNTA(K18:O18)</f>
        <v>0</v>
      </c>
      <c r="J18" s="100" t="n">
        <f aca="false">G18+H18+I18</f>
        <v>3</v>
      </c>
      <c r="K18" s="114"/>
      <c r="L18" s="33"/>
      <c r="M18" s="33"/>
      <c r="N18" s="33"/>
      <c r="O18" s="115"/>
      <c r="P18" s="114"/>
      <c r="Q18" s="33"/>
      <c r="R18" s="129"/>
      <c r="S18" s="33"/>
      <c r="T18" s="33"/>
      <c r="U18" s="33"/>
      <c r="V18" s="33"/>
      <c r="W18" s="33"/>
      <c r="X18" s="33"/>
      <c r="Y18" s="33"/>
      <c r="Z18" s="115"/>
      <c r="AA18" s="130"/>
      <c r="AB18" s="34"/>
      <c r="AC18" s="34"/>
      <c r="AD18" s="34"/>
      <c r="AE18" s="34"/>
      <c r="AF18" s="34"/>
      <c r="AG18" s="34"/>
      <c r="AH18" s="34"/>
      <c r="AI18" s="127" t="s">
        <v>77</v>
      </c>
      <c r="AJ18" s="34"/>
      <c r="AK18" s="34"/>
      <c r="AL18" s="34"/>
      <c r="AM18" s="34"/>
      <c r="AN18" s="34"/>
      <c r="AO18" s="34"/>
      <c r="AP18" s="34"/>
      <c r="AQ18" s="34"/>
      <c r="AR18" s="127" t="s">
        <v>77</v>
      </c>
      <c r="AS18" s="129"/>
      <c r="AT18" s="34"/>
      <c r="AU18" s="34"/>
      <c r="AV18" s="34"/>
      <c r="AW18" s="34"/>
      <c r="AX18" s="34"/>
      <c r="AY18" s="34"/>
      <c r="AZ18" s="34"/>
      <c r="BA18" s="34"/>
      <c r="BB18" s="34"/>
      <c r="BC18" s="34"/>
      <c r="BD18" s="127" t="s">
        <v>77</v>
      </c>
      <c r="BE18" s="34"/>
      <c r="BF18" s="34"/>
      <c r="BG18" s="34"/>
      <c r="BH18" s="34"/>
      <c r="BI18" s="34"/>
      <c r="BJ18" s="34"/>
      <c r="BK18" s="34"/>
      <c r="BL18" s="34"/>
      <c r="BM18" s="34"/>
      <c r="BN18" s="34"/>
      <c r="BO18" s="34"/>
      <c r="BP18" s="129"/>
      <c r="BQ18" s="34"/>
      <c r="BR18" s="34"/>
      <c r="BS18" s="129"/>
      <c r="BT18" s="34"/>
      <c r="BU18" s="34"/>
      <c r="BV18" s="34"/>
      <c r="BW18" s="34"/>
      <c r="BX18" s="34"/>
      <c r="BY18" s="34"/>
      <c r="BZ18" s="129"/>
      <c r="CA18" s="129"/>
      <c r="CB18" s="131"/>
    </row>
    <row r="19" customFormat="false" ht="25.5" hidden="false" customHeight="true" outlineLevel="0" collapsed="false">
      <c r="A19" s="132" t="s">
        <v>119</v>
      </c>
      <c r="B19" s="36" t="s">
        <v>120</v>
      </c>
      <c r="C19" s="37" t="s">
        <v>121</v>
      </c>
      <c r="D19" s="94" t="s">
        <v>186</v>
      </c>
      <c r="E19" s="120" t="s">
        <v>215</v>
      </c>
      <c r="F19" s="96" t="s">
        <v>188</v>
      </c>
      <c r="G19" s="97" t="n">
        <f aca="false">COUNTA(P19:Z19)</f>
        <v>2</v>
      </c>
      <c r="H19" s="98" t="n">
        <f aca="false">SUMPRODUCT(--ISNUMBER(SEARCH("IMP",AA19:CB19)))</f>
        <v>0</v>
      </c>
      <c r="I19" s="99" t="n">
        <f aca="false">COUNTA(K19:O19)</f>
        <v>0</v>
      </c>
      <c r="J19" s="100" t="n">
        <f aca="false">G19+H19+I19</f>
        <v>2</v>
      </c>
      <c r="K19" s="114"/>
      <c r="L19" s="33"/>
      <c r="M19" s="33"/>
      <c r="N19" s="33"/>
      <c r="O19" s="115"/>
      <c r="P19" s="116"/>
      <c r="Q19" s="16"/>
      <c r="R19" s="106"/>
      <c r="S19" s="16"/>
      <c r="T19" s="16"/>
      <c r="U19" s="16"/>
      <c r="V19" s="16"/>
      <c r="W19" s="105" t="s">
        <v>77</v>
      </c>
      <c r="X19" s="16"/>
      <c r="Y19" s="105" t="s">
        <v>77</v>
      </c>
      <c r="Z19" s="119"/>
      <c r="AA19" s="113"/>
      <c r="AB19" s="19"/>
      <c r="AC19" s="19"/>
      <c r="AD19" s="19"/>
      <c r="AE19" s="19"/>
      <c r="AF19" s="19"/>
      <c r="AG19" s="19"/>
      <c r="AH19" s="19"/>
      <c r="AI19" s="19"/>
      <c r="AJ19" s="19"/>
      <c r="AK19" s="19"/>
      <c r="AL19" s="19"/>
      <c r="AM19" s="19"/>
      <c r="AN19" s="19"/>
      <c r="AO19" s="19"/>
      <c r="AP19" s="19"/>
      <c r="AQ19" s="19"/>
      <c r="AR19" s="19"/>
      <c r="AS19" s="106"/>
      <c r="AT19" s="19"/>
      <c r="AU19" s="19"/>
      <c r="AV19" s="19"/>
      <c r="AW19" s="19"/>
      <c r="AX19" s="19"/>
      <c r="AY19" s="19"/>
      <c r="AZ19" s="19"/>
      <c r="BA19" s="19"/>
      <c r="BB19" s="19"/>
      <c r="BC19" s="19"/>
      <c r="BD19" s="19"/>
      <c r="BE19" s="19"/>
      <c r="BF19" s="19"/>
      <c r="BG19" s="19"/>
      <c r="BH19" s="19"/>
      <c r="BI19" s="19"/>
      <c r="BJ19" s="19"/>
      <c r="BK19" s="19"/>
      <c r="BL19" s="19"/>
      <c r="BM19" s="19"/>
      <c r="BN19" s="19"/>
      <c r="BO19" s="19"/>
      <c r="BP19" s="106"/>
      <c r="BQ19" s="19"/>
      <c r="BR19" s="19"/>
      <c r="BS19" s="106"/>
      <c r="BT19" s="19"/>
      <c r="BU19" s="19"/>
      <c r="BV19" s="19"/>
      <c r="BW19" s="19"/>
      <c r="BX19" s="19"/>
      <c r="BY19" s="19"/>
      <c r="BZ19" s="106"/>
      <c r="CA19" s="106"/>
      <c r="CB19" s="112"/>
    </row>
    <row r="20" customFormat="false" ht="51.75" hidden="false" customHeight="true" outlineLevel="0" collapsed="false">
      <c r="A20" s="132" t="s">
        <v>123</v>
      </c>
      <c r="B20" s="36" t="s">
        <v>124</v>
      </c>
      <c r="C20" s="37" t="s">
        <v>121</v>
      </c>
      <c r="D20" s="94" t="s">
        <v>186</v>
      </c>
      <c r="E20" s="120" t="s">
        <v>216</v>
      </c>
      <c r="F20" s="96" t="s">
        <v>188</v>
      </c>
      <c r="G20" s="97" t="n">
        <f aca="false">COUNTA(P20:Z20)</f>
        <v>1</v>
      </c>
      <c r="H20" s="98" t="n">
        <f aca="false">SUMPRODUCT(--ISNUMBER(SEARCH("IMP",AA20:CB20)))</f>
        <v>1</v>
      </c>
      <c r="I20" s="99" t="n">
        <f aca="false">COUNTA(K20:O20)</f>
        <v>0</v>
      </c>
      <c r="J20" s="100" t="n">
        <f aca="false">G20+H20+I20</f>
        <v>2</v>
      </c>
      <c r="K20" s="114"/>
      <c r="L20" s="33"/>
      <c r="M20" s="33"/>
      <c r="N20" s="33"/>
      <c r="O20" s="115"/>
      <c r="P20" s="116"/>
      <c r="Q20" s="16"/>
      <c r="R20" s="106"/>
      <c r="S20" s="16"/>
      <c r="T20" s="16"/>
      <c r="U20" s="16"/>
      <c r="V20" s="16"/>
      <c r="W20" s="16"/>
      <c r="X20" s="16"/>
      <c r="Y20" s="16"/>
      <c r="Z20" s="107" t="s">
        <v>77</v>
      </c>
      <c r="AA20" s="113"/>
      <c r="AB20" s="19"/>
      <c r="AC20" s="19"/>
      <c r="AD20" s="19"/>
      <c r="AE20" s="19"/>
      <c r="AF20" s="19"/>
      <c r="AG20" s="19"/>
      <c r="AH20" s="19"/>
      <c r="AI20" s="19"/>
      <c r="AJ20" s="19"/>
      <c r="AK20" s="19"/>
      <c r="AL20" s="19"/>
      <c r="AM20" s="19"/>
      <c r="AN20" s="19"/>
      <c r="AO20" s="19"/>
      <c r="AP20" s="109" t="s">
        <v>77</v>
      </c>
      <c r="AQ20" s="19"/>
      <c r="AR20" s="19"/>
      <c r="AS20" s="106"/>
      <c r="AT20" s="19"/>
      <c r="AU20" s="19"/>
      <c r="AV20" s="19"/>
      <c r="AW20" s="19"/>
      <c r="AX20" s="19"/>
      <c r="AY20" s="19"/>
      <c r="AZ20" s="19"/>
      <c r="BA20" s="19"/>
      <c r="BB20" s="19"/>
      <c r="BC20" s="19"/>
      <c r="BD20" s="19"/>
      <c r="BE20" s="19"/>
      <c r="BF20" s="19"/>
      <c r="BG20" s="19"/>
      <c r="BH20" s="19"/>
      <c r="BI20" s="19"/>
      <c r="BJ20" s="19"/>
      <c r="BK20" s="19"/>
      <c r="BL20" s="19"/>
      <c r="BM20" s="19"/>
      <c r="BN20" s="19"/>
      <c r="BO20" s="19"/>
      <c r="BP20" s="106"/>
      <c r="BQ20" s="19"/>
      <c r="BR20" s="19"/>
      <c r="BS20" s="106"/>
      <c r="BT20" s="19"/>
      <c r="BU20" s="19"/>
      <c r="BV20" s="19"/>
      <c r="BW20" s="19"/>
      <c r="BX20" s="19"/>
      <c r="BY20" s="19"/>
      <c r="BZ20" s="106"/>
      <c r="CA20" s="106"/>
      <c r="CB20" s="112"/>
    </row>
    <row r="21" customFormat="false" ht="78" hidden="false" customHeight="true" outlineLevel="0" collapsed="false">
      <c r="A21" s="132" t="s">
        <v>125</v>
      </c>
      <c r="B21" s="36" t="s">
        <v>126</v>
      </c>
      <c r="C21" s="37" t="s">
        <v>121</v>
      </c>
      <c r="D21" s="117" t="s">
        <v>217</v>
      </c>
      <c r="E21" s="133" t="s">
        <v>218</v>
      </c>
      <c r="F21" s="96" t="s">
        <v>188</v>
      </c>
      <c r="G21" s="97" t="n">
        <f aca="false">COUNTA(P21:Z21)</f>
        <v>0</v>
      </c>
      <c r="H21" s="98" t="n">
        <f aca="false">SUMPRODUCT(--ISNUMBER(SEARCH("IMP",AA21:CB21)))</f>
        <v>1</v>
      </c>
      <c r="I21" s="99" t="n">
        <f aca="false">COUNTA(K21:O21)</f>
        <v>0</v>
      </c>
      <c r="J21" s="100" t="n">
        <f aca="false">G21+H21+I21</f>
        <v>1</v>
      </c>
      <c r="K21" s="114"/>
      <c r="L21" s="33"/>
      <c r="M21" s="33"/>
      <c r="N21" s="33"/>
      <c r="O21" s="115"/>
      <c r="P21" s="116"/>
      <c r="Q21" s="16"/>
      <c r="R21" s="106"/>
      <c r="S21" s="16"/>
      <c r="T21" s="16"/>
      <c r="U21" s="16"/>
      <c r="V21" s="16"/>
      <c r="W21" s="16"/>
      <c r="X21" s="16"/>
      <c r="Y21" s="16"/>
      <c r="Z21" s="119"/>
      <c r="AA21" s="113"/>
      <c r="AB21" s="19"/>
      <c r="AC21" s="19"/>
      <c r="AD21" s="19"/>
      <c r="AE21" s="19"/>
      <c r="AF21" s="19"/>
      <c r="AG21" s="19"/>
      <c r="AH21" s="19"/>
      <c r="AI21" s="19"/>
      <c r="AJ21" s="19"/>
      <c r="AK21" s="19"/>
      <c r="AL21" s="19"/>
      <c r="AM21" s="19"/>
      <c r="AN21" s="19"/>
      <c r="AO21" s="19"/>
      <c r="AP21" s="19"/>
      <c r="AQ21" s="19"/>
      <c r="AR21" s="19"/>
      <c r="AS21" s="106"/>
      <c r="AT21" s="19"/>
      <c r="AU21" s="19"/>
      <c r="AV21" s="19"/>
      <c r="AW21" s="19"/>
      <c r="AX21" s="19"/>
      <c r="AY21" s="19"/>
      <c r="AZ21" s="19"/>
      <c r="BA21" s="19"/>
      <c r="BB21" s="19"/>
      <c r="BC21" s="19"/>
      <c r="BD21" s="19"/>
      <c r="BE21" s="19"/>
      <c r="BF21" s="19"/>
      <c r="BG21" s="19"/>
      <c r="BH21" s="19"/>
      <c r="BI21" s="19"/>
      <c r="BJ21" s="19"/>
      <c r="BK21" s="19"/>
      <c r="BL21" s="109" t="s">
        <v>77</v>
      </c>
      <c r="BM21" s="19"/>
      <c r="BN21" s="19"/>
      <c r="BO21" s="19"/>
      <c r="BP21" s="106"/>
      <c r="BQ21" s="19"/>
      <c r="BR21" s="19"/>
      <c r="BS21" s="106"/>
      <c r="BT21" s="19"/>
      <c r="BU21" s="19"/>
      <c r="BV21" s="19"/>
      <c r="BW21" s="19"/>
      <c r="BX21" s="19"/>
      <c r="BY21" s="19"/>
      <c r="BZ21" s="106"/>
      <c r="CA21" s="106"/>
      <c r="CB21" s="112"/>
    </row>
    <row r="22" customFormat="false" ht="39" hidden="false" customHeight="true" outlineLevel="0" collapsed="false">
      <c r="A22" s="134" t="s">
        <v>127</v>
      </c>
      <c r="B22" s="40" t="s">
        <v>128</v>
      </c>
      <c r="C22" s="41" t="s">
        <v>129</v>
      </c>
      <c r="D22" s="94" t="s">
        <v>186</v>
      </c>
      <c r="E22" s="120" t="s">
        <v>219</v>
      </c>
      <c r="F22" s="96" t="s">
        <v>188</v>
      </c>
      <c r="G22" s="97" t="n">
        <f aca="false">COUNTA(P22:Z22)</f>
        <v>0</v>
      </c>
      <c r="H22" s="98" t="n">
        <f aca="false">SUMPRODUCT(--ISNUMBER(SEARCH("IMP",AA22:CB22)))</f>
        <v>0</v>
      </c>
      <c r="I22" s="99" t="n">
        <f aca="false">COUNTA(K22:O22)</f>
        <v>1</v>
      </c>
      <c r="J22" s="100" t="n">
        <f aca="false">G22+H22+I22</f>
        <v>1</v>
      </c>
      <c r="K22" s="114"/>
      <c r="L22" s="33"/>
      <c r="M22" s="33"/>
      <c r="N22" s="33"/>
      <c r="O22" s="103" t="s">
        <v>220</v>
      </c>
      <c r="P22" s="116"/>
      <c r="Q22" s="105"/>
      <c r="R22" s="106"/>
      <c r="S22" s="16"/>
      <c r="T22" s="16"/>
      <c r="U22" s="16"/>
      <c r="V22" s="16"/>
      <c r="W22" s="16"/>
      <c r="X22" s="16"/>
      <c r="Y22" s="16"/>
      <c r="Z22" s="119"/>
      <c r="AA22" s="113"/>
      <c r="AB22" s="19"/>
      <c r="AC22" s="19"/>
      <c r="AD22" s="19"/>
      <c r="AE22" s="19"/>
      <c r="AF22" s="19"/>
      <c r="AG22" s="19"/>
      <c r="AH22" s="19"/>
      <c r="AI22" s="19"/>
      <c r="AJ22" s="19"/>
      <c r="AK22" s="19"/>
      <c r="AL22" s="19"/>
      <c r="AM22" s="19"/>
      <c r="AN22" s="19"/>
      <c r="AO22" s="19"/>
      <c r="AP22" s="19"/>
      <c r="AQ22" s="19"/>
      <c r="AR22" s="19"/>
      <c r="AS22" s="106"/>
      <c r="AT22" s="19"/>
      <c r="AU22" s="19"/>
      <c r="AV22" s="19"/>
      <c r="AW22" s="19"/>
      <c r="AX22" s="19"/>
      <c r="AY22" s="19"/>
      <c r="AZ22" s="19"/>
      <c r="BA22" s="19"/>
      <c r="BB22" s="19"/>
      <c r="BC22" s="19"/>
      <c r="BD22" s="19"/>
      <c r="BE22" s="19"/>
      <c r="BF22" s="109"/>
      <c r="BG22" s="19"/>
      <c r="BH22" s="19"/>
      <c r="BI22" s="19"/>
      <c r="BJ22" s="19"/>
      <c r="BK22" s="19"/>
      <c r="BL22" s="19"/>
      <c r="BM22" s="19"/>
      <c r="BN22" s="19"/>
      <c r="BO22" s="109"/>
      <c r="BP22" s="106"/>
      <c r="BQ22" s="19"/>
      <c r="BR22" s="19"/>
      <c r="BS22" s="106"/>
      <c r="BT22" s="19"/>
      <c r="BU22" s="109"/>
      <c r="BV22" s="19"/>
      <c r="BW22" s="19"/>
      <c r="BX22" s="19"/>
      <c r="BY22" s="19"/>
      <c r="BZ22" s="106"/>
      <c r="CA22" s="106"/>
      <c r="CB22" s="121"/>
    </row>
    <row r="23" customFormat="false" ht="25.5" hidden="false" customHeight="true" outlineLevel="0" collapsed="false">
      <c r="A23" s="134" t="s">
        <v>131</v>
      </c>
      <c r="B23" s="40" t="s">
        <v>132</v>
      </c>
      <c r="C23" s="41" t="s">
        <v>129</v>
      </c>
      <c r="D23" s="94" t="s">
        <v>186</v>
      </c>
      <c r="E23" s="120" t="s">
        <v>221</v>
      </c>
      <c r="F23" s="96" t="s">
        <v>188</v>
      </c>
      <c r="G23" s="97" t="n">
        <f aca="false">COUNTA(P23:Z23)</f>
        <v>1</v>
      </c>
      <c r="H23" s="98" t="n">
        <f aca="false">SUMPRODUCT(--ISNUMBER(SEARCH("IMP",AA23:CB23)))</f>
        <v>0</v>
      </c>
      <c r="I23" s="99" t="n">
        <f aca="false">COUNTA(K23:O23)</f>
        <v>1</v>
      </c>
      <c r="J23" s="100" t="n">
        <f aca="false">G23+H23+I23</f>
        <v>2</v>
      </c>
      <c r="K23" s="114"/>
      <c r="L23" s="33"/>
      <c r="M23" s="33"/>
      <c r="N23" s="33"/>
      <c r="O23" s="103" t="s">
        <v>222</v>
      </c>
      <c r="P23" s="116"/>
      <c r="Q23" s="105" t="s">
        <v>77</v>
      </c>
      <c r="R23" s="106"/>
      <c r="S23" s="16"/>
      <c r="T23" s="16"/>
      <c r="U23" s="16"/>
      <c r="V23" s="16"/>
      <c r="W23" s="16"/>
      <c r="X23" s="16"/>
      <c r="Y23" s="16"/>
      <c r="Z23" s="119"/>
      <c r="AA23" s="113"/>
      <c r="AB23" s="19"/>
      <c r="AC23" s="19"/>
      <c r="AD23" s="19"/>
      <c r="AE23" s="19"/>
      <c r="AF23" s="19"/>
      <c r="AG23" s="19"/>
      <c r="AH23" s="19"/>
      <c r="AI23" s="19"/>
      <c r="AJ23" s="19"/>
      <c r="AK23" s="19"/>
      <c r="AL23" s="19"/>
      <c r="AM23" s="19"/>
      <c r="AN23" s="19"/>
      <c r="AO23" s="19"/>
      <c r="AP23" s="19"/>
      <c r="AQ23" s="19"/>
      <c r="AR23" s="19"/>
      <c r="AS23" s="106"/>
      <c r="AT23" s="19"/>
      <c r="AU23" s="19"/>
      <c r="AV23" s="19"/>
      <c r="AW23" s="19"/>
      <c r="AX23" s="19"/>
      <c r="AY23" s="19"/>
      <c r="AZ23" s="19"/>
      <c r="BA23" s="19"/>
      <c r="BB23" s="19"/>
      <c r="BC23" s="19"/>
      <c r="BD23" s="19"/>
      <c r="BE23" s="19"/>
      <c r="BF23" s="19"/>
      <c r="BG23" s="19"/>
      <c r="BH23" s="19"/>
      <c r="BI23" s="19"/>
      <c r="BJ23" s="19"/>
      <c r="BK23" s="19"/>
      <c r="BL23" s="19"/>
      <c r="BM23" s="19"/>
      <c r="BN23" s="19"/>
      <c r="BO23" s="19"/>
      <c r="BP23" s="106"/>
      <c r="BQ23" s="19"/>
      <c r="BR23" s="19"/>
      <c r="BS23" s="106"/>
      <c r="BT23" s="19"/>
      <c r="BU23" s="19"/>
      <c r="BV23" s="19"/>
      <c r="BW23" s="19"/>
      <c r="BX23" s="19"/>
      <c r="BY23" s="19"/>
      <c r="BZ23" s="106"/>
      <c r="CA23" s="106"/>
      <c r="CB23" s="112"/>
    </row>
    <row r="24" customFormat="false" ht="25.5" hidden="false" customHeight="true" outlineLevel="0" collapsed="false">
      <c r="A24" s="134" t="s">
        <v>133</v>
      </c>
      <c r="B24" s="40" t="s">
        <v>134</v>
      </c>
      <c r="C24" s="41" t="s">
        <v>129</v>
      </c>
      <c r="D24" s="94" t="s">
        <v>186</v>
      </c>
      <c r="E24" s="95" t="s">
        <v>223</v>
      </c>
      <c r="F24" s="96" t="s">
        <v>188</v>
      </c>
      <c r="G24" s="97" t="n">
        <f aca="false">COUNTA(P24:Z24)</f>
        <v>1</v>
      </c>
      <c r="H24" s="98" t="n">
        <f aca="false">SUMPRODUCT(--ISNUMBER(SEARCH("IMP",AA24:CB24)))</f>
        <v>1</v>
      </c>
      <c r="I24" s="99" t="n">
        <f aca="false">COUNTA(K24:O24)</f>
        <v>0</v>
      </c>
      <c r="J24" s="100" t="n">
        <f aca="false">G24+H24+I24</f>
        <v>2</v>
      </c>
      <c r="K24" s="114"/>
      <c r="L24" s="33"/>
      <c r="M24" s="33"/>
      <c r="N24" s="33"/>
      <c r="O24" s="115"/>
      <c r="P24" s="116"/>
      <c r="Q24" s="16"/>
      <c r="R24" s="106"/>
      <c r="S24" s="16"/>
      <c r="T24" s="16"/>
      <c r="U24" s="105" t="s">
        <v>77</v>
      </c>
      <c r="V24" s="16"/>
      <c r="W24" s="16"/>
      <c r="X24" s="16"/>
      <c r="Y24" s="16"/>
      <c r="Z24" s="119"/>
      <c r="AA24" s="113"/>
      <c r="AB24" s="19"/>
      <c r="AC24" s="19"/>
      <c r="AD24" s="19"/>
      <c r="AE24" s="19"/>
      <c r="AF24" s="19"/>
      <c r="AG24" s="19"/>
      <c r="AH24" s="19"/>
      <c r="AI24" s="19"/>
      <c r="AJ24" s="19"/>
      <c r="AK24" s="19"/>
      <c r="AL24" s="19"/>
      <c r="AM24" s="19"/>
      <c r="AN24" s="19"/>
      <c r="AO24" s="19"/>
      <c r="AP24" s="19"/>
      <c r="AQ24" s="19"/>
      <c r="AR24" s="19"/>
      <c r="AS24" s="106"/>
      <c r="AT24" s="19"/>
      <c r="AU24" s="19"/>
      <c r="AV24" s="19"/>
      <c r="AW24" s="19"/>
      <c r="AX24" s="19"/>
      <c r="AY24" s="19"/>
      <c r="AZ24" s="19"/>
      <c r="BA24" s="19"/>
      <c r="BB24" s="19"/>
      <c r="BC24" s="19"/>
      <c r="BD24" s="19"/>
      <c r="BE24" s="19"/>
      <c r="BF24" s="19"/>
      <c r="BG24" s="19"/>
      <c r="BH24" s="19"/>
      <c r="BI24" s="109" t="s">
        <v>77</v>
      </c>
      <c r="BJ24" s="19"/>
      <c r="BK24" s="19"/>
      <c r="BL24" s="19"/>
      <c r="BM24" s="19"/>
      <c r="BN24" s="19"/>
      <c r="BO24" s="19"/>
      <c r="BP24" s="106"/>
      <c r="BQ24" s="19"/>
      <c r="BR24" s="19"/>
      <c r="BS24" s="106"/>
      <c r="BT24" s="19"/>
      <c r="BU24" s="19"/>
      <c r="BV24" s="19"/>
      <c r="BW24" s="19"/>
      <c r="BX24" s="19"/>
      <c r="BY24" s="19"/>
      <c r="BZ24" s="106"/>
      <c r="CA24" s="106"/>
      <c r="CB24" s="112"/>
    </row>
    <row r="25" customFormat="false" ht="64.5" hidden="false" customHeight="true" outlineLevel="0" collapsed="false">
      <c r="A25" s="134" t="s">
        <v>135</v>
      </c>
      <c r="B25" s="40" t="s">
        <v>136</v>
      </c>
      <c r="C25" s="41" t="s">
        <v>129</v>
      </c>
      <c r="D25" s="94" t="s">
        <v>186</v>
      </c>
      <c r="E25" s="120" t="s">
        <v>224</v>
      </c>
      <c r="F25" s="96" t="s">
        <v>188</v>
      </c>
      <c r="G25" s="97" t="n">
        <f aca="false">COUNTA(P25:Z25)</f>
        <v>1</v>
      </c>
      <c r="H25" s="98" t="n">
        <f aca="false">SUMPRODUCT(--ISNUMBER(SEARCH("IMP",AA25:CB25)))</f>
        <v>0</v>
      </c>
      <c r="I25" s="99" t="n">
        <f aca="false">COUNTA(K25:O25)</f>
        <v>0</v>
      </c>
      <c r="J25" s="100" t="n">
        <f aca="false">G25+H25+I25</f>
        <v>1</v>
      </c>
      <c r="K25" s="114"/>
      <c r="L25" s="33"/>
      <c r="M25" s="33"/>
      <c r="N25" s="33"/>
      <c r="O25" s="115"/>
      <c r="P25" s="116"/>
      <c r="Q25" s="16"/>
      <c r="R25" s="106"/>
      <c r="S25" s="16"/>
      <c r="T25" s="16"/>
      <c r="U25" s="16"/>
      <c r="V25" s="16"/>
      <c r="W25" s="16"/>
      <c r="X25" s="16"/>
      <c r="Y25" s="105" t="s">
        <v>77</v>
      </c>
      <c r="Z25" s="119"/>
      <c r="AA25" s="113"/>
      <c r="AB25" s="19"/>
      <c r="AC25" s="19"/>
      <c r="AD25" s="19"/>
      <c r="AE25" s="19"/>
      <c r="AF25" s="19"/>
      <c r="AG25" s="19"/>
      <c r="AH25" s="19"/>
      <c r="AI25" s="19"/>
      <c r="AJ25" s="19"/>
      <c r="AK25" s="19"/>
      <c r="AL25" s="19"/>
      <c r="AM25" s="19"/>
      <c r="AN25" s="19"/>
      <c r="AO25" s="19"/>
      <c r="AP25" s="19"/>
      <c r="AQ25" s="19"/>
      <c r="AR25" s="19"/>
      <c r="AS25" s="106"/>
      <c r="AT25" s="19"/>
      <c r="AU25" s="19"/>
      <c r="AV25" s="19"/>
      <c r="AW25" s="19"/>
      <c r="AX25" s="19"/>
      <c r="AY25" s="19"/>
      <c r="AZ25" s="19"/>
      <c r="BA25" s="19"/>
      <c r="BB25" s="19"/>
      <c r="BC25" s="19"/>
      <c r="BD25" s="19"/>
      <c r="BE25" s="19"/>
      <c r="BF25" s="19"/>
      <c r="BG25" s="19"/>
      <c r="BH25" s="19"/>
      <c r="BI25" s="19"/>
      <c r="BJ25" s="19"/>
      <c r="BK25" s="19"/>
      <c r="BL25" s="19"/>
      <c r="BM25" s="19"/>
      <c r="BN25" s="19"/>
      <c r="BO25" s="19"/>
      <c r="BP25" s="106"/>
      <c r="BQ25" s="19"/>
      <c r="BR25" s="19"/>
      <c r="BS25" s="106"/>
      <c r="BT25" s="19"/>
      <c r="BU25" s="19"/>
      <c r="BV25" s="19"/>
      <c r="BW25" s="19"/>
      <c r="BX25" s="19"/>
      <c r="BY25" s="19"/>
      <c r="BZ25" s="106"/>
      <c r="CA25" s="106"/>
      <c r="CB25" s="112"/>
    </row>
    <row r="26" customFormat="false" ht="64.5" hidden="false" customHeight="true" outlineLevel="0" collapsed="false">
      <c r="A26" s="134" t="s">
        <v>139</v>
      </c>
      <c r="B26" s="40" t="s">
        <v>140</v>
      </c>
      <c r="C26" s="41" t="s">
        <v>129</v>
      </c>
      <c r="D26" s="94" t="s">
        <v>186</v>
      </c>
      <c r="E26" s="120" t="s">
        <v>225</v>
      </c>
      <c r="F26" s="96" t="s">
        <v>188</v>
      </c>
      <c r="G26" s="97" t="n">
        <f aca="false">COUNTA(P26:Z26)</f>
        <v>1</v>
      </c>
      <c r="H26" s="98" t="n">
        <f aca="false">SUMPRODUCT(--ISNUMBER(SEARCH("IMP",AA26:CB26)))</f>
        <v>0</v>
      </c>
      <c r="I26" s="99" t="n">
        <f aca="false">COUNTA(K26:O26)</f>
        <v>0</v>
      </c>
      <c r="J26" s="100" t="n">
        <f aca="false">G26+H26+I26</f>
        <v>1</v>
      </c>
      <c r="K26" s="114"/>
      <c r="L26" s="33"/>
      <c r="M26" s="33"/>
      <c r="N26" s="33"/>
      <c r="O26" s="115"/>
      <c r="P26" s="116"/>
      <c r="Q26" s="16"/>
      <c r="R26" s="106"/>
      <c r="S26" s="16"/>
      <c r="T26" s="105" t="s">
        <v>77</v>
      </c>
      <c r="U26" s="16"/>
      <c r="V26" s="16"/>
      <c r="W26" s="16"/>
      <c r="X26" s="16"/>
      <c r="Y26" s="16"/>
      <c r="Z26" s="119"/>
      <c r="AA26" s="113"/>
      <c r="AB26" s="19"/>
      <c r="AC26" s="19"/>
      <c r="AD26" s="19"/>
      <c r="AE26" s="19"/>
      <c r="AF26" s="19"/>
      <c r="AG26" s="19"/>
      <c r="AH26" s="19"/>
      <c r="AI26" s="19"/>
      <c r="AJ26" s="19"/>
      <c r="AK26" s="19"/>
      <c r="AL26" s="19"/>
      <c r="AM26" s="19"/>
      <c r="AN26" s="19"/>
      <c r="AO26" s="19"/>
      <c r="AP26" s="19"/>
      <c r="AQ26" s="19"/>
      <c r="AR26" s="19"/>
      <c r="AS26" s="106"/>
      <c r="AT26" s="19"/>
      <c r="AU26" s="19"/>
      <c r="AV26" s="19"/>
      <c r="AW26" s="19"/>
      <c r="AX26" s="19"/>
      <c r="AY26" s="19"/>
      <c r="AZ26" s="19"/>
      <c r="BA26" s="19"/>
      <c r="BB26" s="19"/>
      <c r="BC26" s="19"/>
      <c r="BD26" s="19"/>
      <c r="BE26" s="19"/>
      <c r="BF26" s="19"/>
      <c r="BG26" s="19"/>
      <c r="BH26" s="19"/>
      <c r="BI26" s="19"/>
      <c r="BJ26" s="19"/>
      <c r="BK26" s="19"/>
      <c r="BL26" s="19"/>
      <c r="BM26" s="19"/>
      <c r="BN26" s="19"/>
      <c r="BO26" s="19"/>
      <c r="BP26" s="106"/>
      <c r="BQ26" s="19"/>
      <c r="BR26" s="19"/>
      <c r="BS26" s="106"/>
      <c r="BT26" s="19"/>
      <c r="BU26" s="19"/>
      <c r="BV26" s="19"/>
      <c r="BW26" s="19"/>
      <c r="BX26" s="19"/>
      <c r="BY26" s="19"/>
      <c r="BZ26" s="106"/>
      <c r="CA26" s="106"/>
      <c r="CB26" s="112"/>
    </row>
    <row r="27" customFormat="false" ht="51.75" hidden="false" customHeight="true" outlineLevel="0" collapsed="false">
      <c r="A27" s="134" t="s">
        <v>137</v>
      </c>
      <c r="B27" s="40" t="s">
        <v>138</v>
      </c>
      <c r="C27" s="41" t="s">
        <v>129</v>
      </c>
      <c r="D27" s="94" t="s">
        <v>186</v>
      </c>
      <c r="E27" s="120" t="s">
        <v>226</v>
      </c>
      <c r="F27" s="96" t="s">
        <v>188</v>
      </c>
      <c r="G27" s="97" t="n">
        <f aca="false">COUNTA(P27:Z27)</f>
        <v>1</v>
      </c>
      <c r="H27" s="98" t="n">
        <f aca="false">SUMPRODUCT(--ISNUMBER(SEARCH("IMP",AA27:CB27)))</f>
        <v>0</v>
      </c>
      <c r="I27" s="99" t="n">
        <f aca="false">COUNTA(K27:O27)</f>
        <v>0</v>
      </c>
      <c r="J27" s="100" t="n">
        <f aca="false">G27+H27+I27</f>
        <v>1</v>
      </c>
      <c r="K27" s="114"/>
      <c r="L27" s="33"/>
      <c r="M27" s="33"/>
      <c r="N27" s="33"/>
      <c r="O27" s="115"/>
      <c r="P27" s="116"/>
      <c r="Q27" s="16"/>
      <c r="R27" s="106"/>
      <c r="S27" s="16"/>
      <c r="T27" s="16"/>
      <c r="U27" s="16"/>
      <c r="V27" s="16"/>
      <c r="W27" s="16"/>
      <c r="X27" s="105" t="s">
        <v>77</v>
      </c>
      <c r="Y27" s="16"/>
      <c r="Z27" s="119"/>
      <c r="AA27" s="113"/>
      <c r="AB27" s="19"/>
      <c r="AC27" s="19"/>
      <c r="AD27" s="19"/>
      <c r="AE27" s="19"/>
      <c r="AF27" s="19"/>
      <c r="AG27" s="19"/>
      <c r="AH27" s="19"/>
      <c r="AI27" s="19"/>
      <c r="AJ27" s="19"/>
      <c r="AK27" s="19"/>
      <c r="AL27" s="19"/>
      <c r="AM27" s="19"/>
      <c r="AN27" s="19"/>
      <c r="AO27" s="19"/>
      <c r="AP27" s="19"/>
      <c r="AQ27" s="19"/>
      <c r="AR27" s="19"/>
      <c r="AS27" s="106"/>
      <c r="AT27" s="19"/>
      <c r="AU27" s="19"/>
      <c r="AV27" s="19"/>
      <c r="AW27" s="19"/>
      <c r="AX27" s="19"/>
      <c r="AY27" s="19"/>
      <c r="AZ27" s="19"/>
      <c r="BA27" s="19"/>
      <c r="BB27" s="19"/>
      <c r="BC27" s="19"/>
      <c r="BD27" s="19"/>
      <c r="BE27" s="19"/>
      <c r="BF27" s="19"/>
      <c r="BG27" s="19"/>
      <c r="BH27" s="19"/>
      <c r="BI27" s="19"/>
      <c r="BJ27" s="19"/>
      <c r="BK27" s="19"/>
      <c r="BL27" s="19"/>
      <c r="BM27" s="19"/>
      <c r="BN27" s="19"/>
      <c r="BO27" s="19"/>
      <c r="BP27" s="106"/>
      <c r="BQ27" s="19"/>
      <c r="BR27" s="19"/>
      <c r="BS27" s="106"/>
      <c r="BT27" s="19"/>
      <c r="BU27" s="19"/>
      <c r="BV27" s="19"/>
      <c r="BW27" s="19"/>
      <c r="BX27" s="19"/>
      <c r="BY27" s="19"/>
      <c r="BZ27" s="106"/>
      <c r="CA27" s="106"/>
      <c r="CB27" s="112"/>
    </row>
    <row r="28" customFormat="false" ht="78.75" hidden="false" customHeight="true" outlineLevel="0" collapsed="false">
      <c r="A28" s="135" t="s">
        <v>149</v>
      </c>
      <c r="B28" s="136" t="s">
        <v>149</v>
      </c>
      <c r="C28" s="137" t="s">
        <v>150</v>
      </c>
      <c r="D28" s="138" t="s">
        <v>227</v>
      </c>
      <c r="E28" s="139" t="s">
        <v>228</v>
      </c>
      <c r="F28" s="140" t="s">
        <v>188</v>
      </c>
      <c r="G28" s="141" t="n">
        <f aca="false">COUNTA(P28:Z28)</f>
        <v>0</v>
      </c>
      <c r="H28" s="142" t="n">
        <f aca="false">SUMPRODUCT(--ISNUMBER(SEARCH("IMP",AA28:CB28)))</f>
        <v>1</v>
      </c>
      <c r="I28" s="143" t="n">
        <f aca="false">COUNTA(K28:O28)</f>
        <v>0</v>
      </c>
      <c r="J28" s="144" t="n">
        <f aca="false">G28+H28+I28</f>
        <v>1</v>
      </c>
      <c r="K28" s="145"/>
      <c r="L28" s="146"/>
      <c r="M28" s="146"/>
      <c r="N28" s="146"/>
      <c r="O28" s="147"/>
      <c r="P28" s="145"/>
      <c r="Q28" s="146"/>
      <c r="R28" s="148"/>
      <c r="S28" s="146"/>
      <c r="T28" s="146"/>
      <c r="U28" s="146"/>
      <c r="V28" s="146"/>
      <c r="W28" s="146"/>
      <c r="X28" s="146"/>
      <c r="Y28" s="146"/>
      <c r="Z28" s="147"/>
      <c r="AA28" s="149"/>
      <c r="AB28" s="150"/>
      <c r="AC28" s="150"/>
      <c r="AD28" s="150"/>
      <c r="AE28" s="150"/>
      <c r="AF28" s="150"/>
      <c r="AG28" s="150"/>
      <c r="AH28" s="150"/>
      <c r="AI28" s="150"/>
      <c r="AJ28" s="150"/>
      <c r="AK28" s="150"/>
      <c r="AL28" s="150"/>
      <c r="AM28" s="150"/>
      <c r="AN28" s="150"/>
      <c r="AO28" s="150"/>
      <c r="AP28" s="150"/>
      <c r="AQ28" s="150"/>
      <c r="AR28" s="150"/>
      <c r="AS28" s="148"/>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48"/>
      <c r="BQ28" s="150"/>
      <c r="BR28" s="150"/>
      <c r="BS28" s="148"/>
      <c r="BT28" s="150"/>
      <c r="BU28" s="150"/>
      <c r="BV28" s="150"/>
      <c r="BW28" s="150"/>
      <c r="BX28" s="150"/>
      <c r="BY28" s="150"/>
      <c r="BZ28" s="148"/>
      <c r="CA28" s="148"/>
      <c r="CB28" s="151" t="s">
        <v>77</v>
      </c>
    </row>
  </sheetData>
  <mergeCells count="20">
    <mergeCell ref="A1:CB1"/>
    <mergeCell ref="A2:J2"/>
    <mergeCell ref="A3:A6"/>
    <mergeCell ref="B3:B6"/>
    <mergeCell ref="C3:C6"/>
    <mergeCell ref="D3:E6"/>
    <mergeCell ref="F3:F6"/>
    <mergeCell ref="G3:J3"/>
    <mergeCell ref="K3:O3"/>
    <mergeCell ref="P3:Z3"/>
    <mergeCell ref="AA3:CB3"/>
    <mergeCell ref="G4:G6"/>
    <mergeCell ref="H4:H6"/>
    <mergeCell ref="I4:I6"/>
    <mergeCell ref="J4:J6"/>
    <mergeCell ref="K5:K6"/>
    <mergeCell ref="L5:L6"/>
    <mergeCell ref="M5:M6"/>
    <mergeCell ref="N5:N6"/>
    <mergeCell ref="O5:O6"/>
  </mergeCells>
  <hyperlinks>
    <hyperlink ref="K4" r:id="rId1" display="cleanTS (Shende et al., 2022)"/>
    <hyperlink ref="L4" r:id="rId2" display="sktime (Löning et al., 2019)"/>
    <hyperlink ref="M4" r:id="rId3" display="amelia II (Honaker et al., 2011)"/>
    <hyperlink ref="N4" r:id="rId4" display="PyPOTS (Du, 2023)"/>
    <hyperlink ref="O4" r:id="rId5" display="ImputeGAP (Nater et al., 2023)"/>
    <hyperlink ref="K7" r:id="rId6" display="imputeTestbench/R/error_functions.R"/>
    <hyperlink ref="K8" r:id="rId7" display="imputeTestbench/R/error_functions.R"/>
    <hyperlink ref="K11" r:id="rId8" display="imputeTestbench/R/error_functions.R"/>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F9" activeCellId="0" sqref="F9"/>
    </sheetView>
  </sheetViews>
  <sheetFormatPr defaultColWidth="8.5078125" defaultRowHeight="15" zeroHeight="false" outlineLevelRow="0" outlineLevelCol="0"/>
  <cols>
    <col collapsed="false" customWidth="true" hidden="false" outlineLevel="0" max="1" min="1" style="1" width="24.67"/>
    <col collapsed="false" customWidth="true" hidden="false" outlineLevel="0" max="2" min="2" style="1" width="10"/>
    <col collapsed="false" customWidth="true" hidden="false" outlineLevel="0" max="3" min="3" style="1" width="52"/>
    <col collapsed="false" customWidth="true" hidden="false" outlineLevel="0" max="4" min="4" style="1" width="31.33"/>
    <col collapsed="false" customWidth="true" hidden="false" outlineLevel="0" max="8" min="5" style="1" width="7"/>
    <col collapsed="false" customWidth="true" hidden="false" outlineLevel="0" max="9" min="9" style="1" width="9"/>
    <col collapsed="false" customWidth="true" hidden="false" outlineLevel="0" max="10" min="10" style="1" width="11"/>
    <col collapsed="false" customWidth="true" hidden="false" outlineLevel="0" max="17" min="11" style="1" width="9"/>
    <col collapsed="false" customWidth="true" hidden="false" outlineLevel="0" max="18" min="18" style="1" width="10"/>
    <col collapsed="false" customWidth="true" hidden="false" outlineLevel="0" max="19" min="19" style="1" width="7"/>
  </cols>
  <sheetData>
    <row r="1" customFormat="false" ht="15.75" hidden="false" customHeight="true" outlineLevel="0" collapsed="false">
      <c r="A1" s="152" t="s">
        <v>229</v>
      </c>
      <c r="B1" s="152"/>
      <c r="C1" s="152"/>
      <c r="D1" s="152"/>
      <c r="E1" s="152"/>
      <c r="F1" s="152"/>
      <c r="G1" s="152"/>
      <c r="H1" s="152"/>
      <c r="I1" s="152"/>
      <c r="J1" s="152"/>
      <c r="K1" s="152"/>
      <c r="L1" s="152"/>
      <c r="M1" s="152"/>
      <c r="N1" s="152"/>
      <c r="O1" s="152"/>
      <c r="P1" s="152"/>
      <c r="Q1" s="152"/>
      <c r="R1" s="152"/>
      <c r="S1" s="152"/>
    </row>
    <row r="3" customFormat="false" ht="15" hidden="false" customHeight="true" outlineLevel="0" collapsed="false">
      <c r="A3" s="153" t="s">
        <v>230</v>
      </c>
      <c r="B3" s="153"/>
      <c r="C3" s="153"/>
    </row>
    <row r="4" customFormat="false" ht="25.5" hidden="false" customHeight="true" outlineLevel="0" collapsed="false">
      <c r="A4" s="154" t="s">
        <v>231</v>
      </c>
      <c r="B4" s="155" t="n">
        <v>3</v>
      </c>
      <c r="C4" s="156" t="s">
        <v>232</v>
      </c>
    </row>
    <row r="5" customFormat="false" ht="15" hidden="false" customHeight="true" outlineLevel="0" collapsed="false">
      <c r="A5" s="154" t="s">
        <v>233</v>
      </c>
      <c r="B5" s="155" t="n">
        <v>1</v>
      </c>
      <c r="C5" s="156" t="s">
        <v>234</v>
      </c>
    </row>
    <row r="6" customFormat="false" ht="15" hidden="false" customHeight="true" outlineLevel="0" collapsed="false">
      <c r="A6" s="154" t="s">
        <v>235</v>
      </c>
      <c r="B6" s="155" t="n">
        <v>1</v>
      </c>
      <c r="C6" s="156" t="s">
        <v>236</v>
      </c>
    </row>
    <row r="7" customFormat="false" ht="15" hidden="false" customHeight="true" outlineLevel="0" collapsed="false">
      <c r="A7" s="154" t="s">
        <v>237</v>
      </c>
      <c r="B7" s="155" t="n">
        <v>0.5</v>
      </c>
      <c r="C7" s="156" t="s">
        <v>238</v>
      </c>
    </row>
    <row r="8" customFormat="false" ht="21.75" hidden="false" customHeight="true" outlineLevel="0" collapsed="false">
      <c r="A8" s="154" t="s">
        <v>239</v>
      </c>
      <c r="B8" s="155" t="n">
        <v>2</v>
      </c>
      <c r="C8" s="156" t="s">
        <v>240</v>
      </c>
    </row>
    <row r="9" customFormat="false" ht="15" hidden="false" customHeight="true" outlineLevel="0" collapsed="false">
      <c r="A9" s="154" t="s">
        <v>241</v>
      </c>
      <c r="B9" s="155" t="n">
        <v>2023</v>
      </c>
      <c r="C9" s="156" t="s">
        <v>242</v>
      </c>
    </row>
    <row r="10" customFormat="false" ht="15" hidden="false" customHeight="true" outlineLevel="0" collapsed="false">
      <c r="A10" s="154" t="s">
        <v>243</v>
      </c>
      <c r="B10" s="155" t="n">
        <v>2</v>
      </c>
      <c r="C10" s="156" t="s">
        <v>244</v>
      </c>
    </row>
    <row r="11" customFormat="false" ht="15" hidden="false" customHeight="true" outlineLevel="0" collapsed="false">
      <c r="A11" s="154" t="s">
        <v>245</v>
      </c>
      <c r="B11" s="155" t="n">
        <v>3</v>
      </c>
      <c r="C11" s="156" t="s">
        <v>246</v>
      </c>
    </row>
    <row r="12" customFormat="false" ht="25.5" hidden="false" customHeight="true" outlineLevel="0" collapsed="false">
      <c r="A12" s="154" t="s">
        <v>247</v>
      </c>
      <c r="B12" s="155" t="n">
        <v>1</v>
      </c>
      <c r="C12" s="156" t="s">
        <v>248</v>
      </c>
    </row>
    <row r="13" customFormat="false" ht="13.5" hidden="false" customHeight="true" outlineLevel="0" collapsed="false">
      <c r="A13" s="157" t="s">
        <v>249</v>
      </c>
      <c r="B13" s="157"/>
      <c r="C13" s="157"/>
      <c r="D13" s="157"/>
      <c r="E13" s="157"/>
      <c r="F13" s="157"/>
      <c r="G13" s="157"/>
      <c r="H13" s="157"/>
      <c r="I13" s="157"/>
      <c r="J13" s="157"/>
      <c r="K13" s="157"/>
      <c r="L13" s="157"/>
      <c r="M13" s="157"/>
      <c r="N13" s="157"/>
      <c r="O13" s="157"/>
      <c r="P13" s="157"/>
      <c r="Q13" s="157"/>
      <c r="R13" s="157"/>
      <c r="S13" s="157"/>
    </row>
    <row r="15" customFormat="false" ht="18" hidden="false" customHeight="true" outlineLevel="0" collapsed="false">
      <c r="A15" s="158" t="s">
        <v>250</v>
      </c>
      <c r="B15" s="158"/>
      <c r="C15" s="158"/>
      <c r="D15" s="158"/>
      <c r="E15" s="158" t="s">
        <v>251</v>
      </c>
      <c r="F15" s="158"/>
      <c r="G15" s="158"/>
      <c r="H15" s="158"/>
      <c r="I15" s="158"/>
      <c r="J15" s="158"/>
      <c r="K15" s="159" t="s">
        <v>252</v>
      </c>
      <c r="L15" s="159"/>
      <c r="M15" s="159"/>
      <c r="N15" s="159"/>
      <c r="O15" s="159"/>
      <c r="P15" s="159"/>
      <c r="Q15" s="159"/>
      <c r="R15" s="160" t="s">
        <v>253</v>
      </c>
      <c r="S15" s="161"/>
    </row>
    <row r="16" customFormat="false" ht="39" hidden="false" customHeight="true" outlineLevel="0" collapsed="false">
      <c r="A16" s="162" t="s">
        <v>254</v>
      </c>
      <c r="B16" s="162" t="s">
        <v>1</v>
      </c>
      <c r="C16" s="162" t="s">
        <v>2</v>
      </c>
      <c r="D16" s="162" t="s">
        <v>166</v>
      </c>
      <c r="E16" s="162" t="s">
        <v>255</v>
      </c>
      <c r="F16" s="162" t="s">
        <v>256</v>
      </c>
      <c r="G16" s="162" t="s">
        <v>257</v>
      </c>
      <c r="H16" s="162" t="s">
        <v>258</v>
      </c>
      <c r="I16" s="162" t="s">
        <v>259</v>
      </c>
      <c r="J16" s="162" t="s">
        <v>260</v>
      </c>
      <c r="K16" s="162" t="s">
        <v>261</v>
      </c>
      <c r="L16" s="162" t="s">
        <v>262</v>
      </c>
      <c r="M16" s="162" t="s">
        <v>263</v>
      </c>
      <c r="N16" s="162" t="s">
        <v>264</v>
      </c>
      <c r="O16" s="162" t="s">
        <v>265</v>
      </c>
      <c r="P16" s="162" t="s">
        <v>266</v>
      </c>
      <c r="Q16" s="162" t="s">
        <v>267</v>
      </c>
      <c r="R16" s="162" t="s">
        <v>268</v>
      </c>
      <c r="S16" s="162" t="s">
        <v>269</v>
      </c>
    </row>
    <row r="17" customFormat="false" ht="15" hidden="false" customHeight="true" outlineLevel="0" collapsed="false">
      <c r="A17" s="163" t="n">
        <f aca="false">RANK(S17,$S$17:$S$38,0)</f>
        <v>1</v>
      </c>
      <c r="B17" s="164" t="s">
        <v>73</v>
      </c>
      <c r="C17" s="165" t="s">
        <v>74</v>
      </c>
      <c r="D17" s="165" t="s">
        <v>186</v>
      </c>
      <c r="E17" s="166" t="s">
        <v>188</v>
      </c>
      <c r="F17" s="166" t="n">
        <f aca="false">SUMPRODUCT(('Imputation Metrics Properties'!$P$5:$Z$5="+1")*('Imputation Metrics Properties'!P7:Z7&lt;&gt;""))</f>
        <v>5</v>
      </c>
      <c r="G17" s="166" t="n">
        <f aca="false">'Imputation Metrics Properties'!G7-F17</f>
        <v>2</v>
      </c>
      <c r="H17" s="166" t="n">
        <f aca="false">SUMPRODUCT(('Imputation Metrics Properties'!$AA$5:$CB$5="+1")*ISNUMBER(SEARCH("IMP",'Imputation Metrics Properties'!AA7:CB7)))</f>
        <v>25</v>
      </c>
      <c r="I17" s="166" t="n">
        <f aca="false">'Imputation Metrics Properties'!H7-H17</f>
        <v>3</v>
      </c>
      <c r="J17" s="166" t="n">
        <f aca="false">'Imputation Metrics Properties'!I7</f>
        <v>4</v>
      </c>
      <c r="K17" s="167" t="n">
        <f aca="false">IFERROR((SUMPRODUCT(('Imputation Metrics Properties'!P7:Z7&lt;&gt;"")*'Imputation Metrics Properties'!$P$6:$Z$6)+SUMPRODUCT(ISNUMBER(SEARCH("IMP",'Imputation Metrics Properties'!AA7:CB7))*'Imputation Metrics Properties'!$AA$6:$CB$6))/('Imputation Metrics Properties'!G7+'Imputation Metrics Properties'!H7),"")</f>
        <v>2022.91428571429</v>
      </c>
      <c r="L17" s="167" t="n">
        <f aca="false">F17*$B$4</f>
        <v>15</v>
      </c>
      <c r="M17" s="167" t="n">
        <f aca="false">G17*$B$5</f>
        <v>2</v>
      </c>
      <c r="N17" s="167" t="n">
        <f aca="false">H17*$B$6</f>
        <v>25</v>
      </c>
      <c r="O17" s="167" t="n">
        <f aca="false">I17*$B$7</f>
        <v>1.5</v>
      </c>
      <c r="P17" s="167" t="n">
        <f aca="false">J17*$B$8</f>
        <v>8</v>
      </c>
      <c r="Q17" s="167" t="n">
        <f aca="false">IF(ISNUMBER(K17),IF(K17&gt;=$B$9,$B$10,0),0)</f>
        <v>0</v>
      </c>
      <c r="R17" s="167" t="n">
        <f aca="false">$B$11</f>
        <v>3</v>
      </c>
      <c r="S17" s="168" t="n">
        <f aca="false">SUM(L17:R17)</f>
        <v>54.5</v>
      </c>
    </row>
    <row r="18" customFormat="false" ht="15" hidden="false" customHeight="true" outlineLevel="0" collapsed="false">
      <c r="A18" s="163" t="n">
        <f aca="false">RANK(S18,$S$17:$S$38,0)</f>
        <v>2</v>
      </c>
      <c r="B18" s="169" t="s">
        <v>83</v>
      </c>
      <c r="C18" s="170" t="s">
        <v>84</v>
      </c>
      <c r="D18" s="170" t="s">
        <v>186</v>
      </c>
      <c r="E18" s="171" t="s">
        <v>188</v>
      </c>
      <c r="F18" s="171" t="n">
        <f aca="false">SUMPRODUCT(('Imputation Metrics Properties'!$P$5:$Z$5="+1")*('Imputation Metrics Properties'!P8:Z8&lt;&gt;""))</f>
        <v>7</v>
      </c>
      <c r="G18" s="171" t="n">
        <f aca="false">'Imputation Metrics Properties'!G8-F18</f>
        <v>2</v>
      </c>
      <c r="H18" s="171" t="n">
        <f aca="false">SUMPRODUCT(('Imputation Metrics Properties'!$AA$5:$CB$5="+1")*ISNUMBER(SEARCH("IMP",'Imputation Metrics Properties'!AA8:CB8)))</f>
        <v>19</v>
      </c>
      <c r="I18" s="171" t="n">
        <f aca="false">'Imputation Metrics Properties'!H8-H18</f>
        <v>1</v>
      </c>
      <c r="J18" s="171" t="n">
        <f aca="false">'Imputation Metrics Properties'!I8</f>
        <v>4</v>
      </c>
      <c r="K18" s="172" t="n">
        <f aca="false">IFERROR((SUMPRODUCT(('Imputation Metrics Properties'!P8:Z8&lt;&gt;"")*'Imputation Metrics Properties'!$P$6:$Z$6)+SUMPRODUCT(ISNUMBER(SEARCH("IMP",'Imputation Metrics Properties'!AA8:CB8))*'Imputation Metrics Properties'!$AA$6:$CB$6))/('Imputation Metrics Properties'!G8+'Imputation Metrics Properties'!H8),"")</f>
        <v>2021.8275862069</v>
      </c>
      <c r="L18" s="172" t="n">
        <f aca="false">F18*$B$4</f>
        <v>21</v>
      </c>
      <c r="M18" s="172" t="n">
        <f aca="false">G18*$B$5</f>
        <v>2</v>
      </c>
      <c r="N18" s="172" t="n">
        <f aca="false">H18*$B$6</f>
        <v>19</v>
      </c>
      <c r="O18" s="172" t="n">
        <f aca="false">I18*$B$7</f>
        <v>0.5</v>
      </c>
      <c r="P18" s="172" t="n">
        <f aca="false">J18*$B$8</f>
        <v>8</v>
      </c>
      <c r="Q18" s="172" t="n">
        <f aca="false">IF(ISNUMBER(K18),IF(K18&gt;=$B$9,$B$10,0),0)</f>
        <v>0</v>
      </c>
      <c r="R18" s="172" t="n">
        <f aca="false">$B$11</f>
        <v>3</v>
      </c>
      <c r="S18" s="168" t="n">
        <f aca="false">SUM(L18:R18)</f>
        <v>53.5</v>
      </c>
    </row>
    <row r="19" customFormat="false" ht="15" hidden="false" customHeight="true" outlineLevel="0" collapsed="false">
      <c r="A19" s="163" t="n">
        <f aca="false">RANK(S19,$S$17:$S$38,0)</f>
        <v>3</v>
      </c>
      <c r="B19" s="169" t="s">
        <v>85</v>
      </c>
      <c r="C19" s="170" t="s">
        <v>86</v>
      </c>
      <c r="D19" s="170" t="s">
        <v>186</v>
      </c>
      <c r="E19" s="171" t="s">
        <v>188</v>
      </c>
      <c r="F19" s="171" t="n">
        <f aca="false">SUMPRODUCT(('Imputation Metrics Properties'!$P$5:$Z$5="+1")*('Imputation Metrics Properties'!P9:Z9&lt;&gt;""))</f>
        <v>2</v>
      </c>
      <c r="G19" s="171" t="n">
        <f aca="false">'Imputation Metrics Properties'!G9-F19</f>
        <v>1</v>
      </c>
      <c r="H19" s="171" t="n">
        <f aca="false">SUMPRODUCT(('Imputation Metrics Properties'!$AA$5:$CB$5="+1")*ISNUMBER(SEARCH("IMP",'Imputation Metrics Properties'!AA9:CB9)))</f>
        <v>18</v>
      </c>
      <c r="I19" s="171" t="n">
        <f aca="false">'Imputation Metrics Properties'!H9-H19</f>
        <v>2</v>
      </c>
      <c r="J19" s="171" t="n">
        <f aca="false">'Imputation Metrics Properties'!I9</f>
        <v>2</v>
      </c>
      <c r="K19" s="172" t="n">
        <f aca="false">IFERROR((SUMPRODUCT(('Imputation Metrics Properties'!P9:Z9&lt;&gt;"")*'Imputation Metrics Properties'!$P$6:$Z$6)+SUMPRODUCT(ISNUMBER(SEARCH("IMP",'Imputation Metrics Properties'!AA9:CB9))*'Imputation Metrics Properties'!$AA$6:$CB$6))/('Imputation Metrics Properties'!G9+'Imputation Metrics Properties'!H9),"")</f>
        <v>2021.5652173913</v>
      </c>
      <c r="L19" s="172" t="n">
        <f aca="false">F19*$B$4</f>
        <v>6</v>
      </c>
      <c r="M19" s="172" t="n">
        <f aca="false">G19*$B$5</f>
        <v>1</v>
      </c>
      <c r="N19" s="172" t="n">
        <f aca="false">H19*$B$6</f>
        <v>18</v>
      </c>
      <c r="O19" s="172" t="n">
        <f aca="false">I19*$B$7</f>
        <v>1</v>
      </c>
      <c r="P19" s="172" t="n">
        <f aca="false">J19*$B$8</f>
        <v>4</v>
      </c>
      <c r="Q19" s="172" t="n">
        <f aca="false">IF(ISNUMBER(K19),IF(K19&gt;=$B$9,$B$10,0),0)</f>
        <v>0</v>
      </c>
      <c r="R19" s="172" t="n">
        <f aca="false">$B$11</f>
        <v>3</v>
      </c>
      <c r="S19" s="168" t="n">
        <f aca="false">SUM(L19:R19)</f>
        <v>33</v>
      </c>
    </row>
    <row r="20" customFormat="false" ht="15" hidden="false" customHeight="true" outlineLevel="0" collapsed="false">
      <c r="A20" s="163" t="n">
        <f aca="false">RANK(S20,$S$17:$S$38,0)</f>
        <v>4</v>
      </c>
      <c r="B20" s="164" t="s">
        <v>89</v>
      </c>
      <c r="C20" s="165" t="s">
        <v>90</v>
      </c>
      <c r="D20" s="165" t="s">
        <v>200</v>
      </c>
      <c r="E20" s="166" t="s">
        <v>188</v>
      </c>
      <c r="F20" s="166" t="n">
        <f aca="false">SUMPRODUCT(('Imputation Metrics Properties'!$P$5:$Z$5="+1")*('Imputation Metrics Properties'!P10:Z10&lt;&gt;""))</f>
        <v>1</v>
      </c>
      <c r="G20" s="166" t="n">
        <f aca="false">'Imputation Metrics Properties'!G10-F20</f>
        <v>0</v>
      </c>
      <c r="H20" s="166" t="n">
        <f aca="false">SUMPRODUCT(('Imputation Metrics Properties'!$AA$5:$CB$5="+1")*ISNUMBER(SEARCH("IMP",'Imputation Metrics Properties'!AA10:CB10)))</f>
        <v>10</v>
      </c>
      <c r="I20" s="166" t="n">
        <f aca="false">'Imputation Metrics Properties'!H10-H20</f>
        <v>0</v>
      </c>
      <c r="J20" s="166" t="n">
        <f aca="false">'Imputation Metrics Properties'!I10</f>
        <v>1</v>
      </c>
      <c r="K20" s="167" t="n">
        <f aca="false">IFERROR((SUMPRODUCT(('Imputation Metrics Properties'!P10:Z10&lt;&gt;"")*'Imputation Metrics Properties'!$P$6:$Z$6)+SUMPRODUCT(ISNUMBER(SEARCH("IMP",'Imputation Metrics Properties'!AA10:CB10))*'Imputation Metrics Properties'!$AA$6:$CB$6))/('Imputation Metrics Properties'!G10+'Imputation Metrics Properties'!H10),"")</f>
        <v>2022.45454545455</v>
      </c>
      <c r="L20" s="167" t="n">
        <f aca="false">F20*$B$4</f>
        <v>3</v>
      </c>
      <c r="M20" s="167" t="n">
        <f aca="false">G20*$B$5</f>
        <v>0</v>
      </c>
      <c r="N20" s="167" t="n">
        <f aca="false">H20*$B$6</f>
        <v>10</v>
      </c>
      <c r="O20" s="167" t="n">
        <f aca="false">I20*$B$7</f>
        <v>0</v>
      </c>
      <c r="P20" s="167" t="n">
        <f aca="false">J20*$B$8</f>
        <v>2</v>
      </c>
      <c r="Q20" s="167" t="n">
        <f aca="false">IF(ISNUMBER(K20),IF(K20&gt;=$B$9,$B$10,0),0)</f>
        <v>0</v>
      </c>
      <c r="R20" s="167" t="n">
        <f aca="false">$B$12</f>
        <v>1</v>
      </c>
      <c r="S20" s="168" t="n">
        <f aca="false">SUM(L20:R20)</f>
        <v>16</v>
      </c>
    </row>
    <row r="21" customFormat="false" ht="15" hidden="false" customHeight="true" outlineLevel="0" collapsed="false">
      <c r="A21" s="163" t="n">
        <f aca="false">RANK(S21,$S$17:$S$38,0)</f>
        <v>6</v>
      </c>
      <c r="B21" s="169" t="s">
        <v>91</v>
      </c>
      <c r="C21" s="170" t="s">
        <v>92</v>
      </c>
      <c r="D21" s="170" t="s">
        <v>186</v>
      </c>
      <c r="E21" s="171" t="s">
        <v>188</v>
      </c>
      <c r="F21" s="171" t="n">
        <f aca="false">SUMPRODUCT(('Imputation Metrics Properties'!$P$5:$Z$5="+1")*('Imputation Metrics Properties'!P11:Z11&lt;&gt;""))</f>
        <v>0</v>
      </c>
      <c r="G21" s="171" t="n">
        <f aca="false">'Imputation Metrics Properties'!G11-F21</f>
        <v>0</v>
      </c>
      <c r="H21" s="171" t="n">
        <f aca="false">SUMPRODUCT(('Imputation Metrics Properties'!$AA$5:$CB$5="+1")*ISNUMBER(SEARCH("IMP",'Imputation Metrics Properties'!AA11:CB11)))</f>
        <v>1</v>
      </c>
      <c r="I21" s="171" t="n">
        <f aca="false">'Imputation Metrics Properties'!H11-H21</f>
        <v>0</v>
      </c>
      <c r="J21" s="171" t="n">
        <f aca="false">'Imputation Metrics Properties'!I11</f>
        <v>2</v>
      </c>
      <c r="K21" s="172" t="n">
        <f aca="false">IFERROR((SUMPRODUCT(('Imputation Metrics Properties'!P11:Z11&lt;&gt;"")*'Imputation Metrics Properties'!$P$6:$Z$6)+SUMPRODUCT(ISNUMBER(SEARCH("IMP",'Imputation Metrics Properties'!AA11:CB11))*'Imputation Metrics Properties'!$AA$6:$CB$6))/('Imputation Metrics Properties'!G11+'Imputation Metrics Properties'!H11),"")</f>
        <v>2023</v>
      </c>
      <c r="L21" s="172" t="n">
        <f aca="false">F21*$B$4</f>
        <v>0</v>
      </c>
      <c r="M21" s="172" t="n">
        <f aca="false">G21*$B$5</f>
        <v>0</v>
      </c>
      <c r="N21" s="172" t="n">
        <f aca="false">H21*$B$6</f>
        <v>1</v>
      </c>
      <c r="O21" s="172" t="n">
        <f aca="false">I21*$B$7</f>
        <v>0</v>
      </c>
      <c r="P21" s="172" t="n">
        <f aca="false">J21*$B$8</f>
        <v>4</v>
      </c>
      <c r="Q21" s="172" t="n">
        <f aca="false">IF(ISNUMBER(K21),IF(K21&gt;=$B$9,$B$10,0),0)</f>
        <v>2</v>
      </c>
      <c r="R21" s="172" t="n">
        <f aca="false">$B$11</f>
        <v>3</v>
      </c>
      <c r="S21" s="168" t="n">
        <f aca="false">SUM(L21:R21)</f>
        <v>10</v>
      </c>
    </row>
    <row r="22" customFormat="false" ht="15" hidden="false" customHeight="true" outlineLevel="0" collapsed="false">
      <c r="A22" s="163" t="n">
        <f aca="false">RANK(S22,$S$17:$S$38,0)</f>
        <v>5</v>
      </c>
      <c r="B22" s="169" t="s">
        <v>105</v>
      </c>
      <c r="C22" s="170" t="s">
        <v>106</v>
      </c>
      <c r="D22" s="170" t="s">
        <v>186</v>
      </c>
      <c r="E22" s="171" t="s">
        <v>208</v>
      </c>
      <c r="F22" s="171" t="n">
        <f aca="false">SUMPRODUCT(('Imputation Metrics Properties'!$P$5:$Z$5="+1")*('Imputation Metrics Properties'!P14:Z14&lt;&gt;""))</f>
        <v>1</v>
      </c>
      <c r="G22" s="171" t="n">
        <f aca="false">'Imputation Metrics Properties'!G14-F22</f>
        <v>2</v>
      </c>
      <c r="H22" s="171" t="n">
        <f aca="false">SUMPRODUCT(('Imputation Metrics Properties'!$AA$5:$CB$5="+1")*ISNUMBER(SEARCH("IMP",'Imputation Metrics Properties'!AA14:CB14)))</f>
        <v>1</v>
      </c>
      <c r="I22" s="171" t="n">
        <f aca="false">'Imputation Metrics Properties'!H14-H22</f>
        <v>0</v>
      </c>
      <c r="J22" s="171" t="n">
        <f aca="false">'Imputation Metrics Properties'!I14</f>
        <v>0</v>
      </c>
      <c r="K22" s="172" t="n">
        <f aca="false">IFERROR((SUMPRODUCT(('Imputation Metrics Properties'!P14:Z14&lt;&gt;"")*'Imputation Metrics Properties'!$P$6:$Z$6)+SUMPRODUCT(ISNUMBER(SEARCH("IMP",'Imputation Metrics Properties'!AA14:CB14))*'Imputation Metrics Properties'!$AA$6:$CB$6))/('Imputation Metrics Properties'!G14+'Imputation Metrics Properties'!H14),"")</f>
        <v>2024</v>
      </c>
      <c r="L22" s="172" t="n">
        <f aca="false">F22*$B$4</f>
        <v>3</v>
      </c>
      <c r="M22" s="172" t="n">
        <f aca="false">G22*$B$5</f>
        <v>2</v>
      </c>
      <c r="N22" s="172" t="n">
        <f aca="false">H22*$B$6</f>
        <v>1</v>
      </c>
      <c r="O22" s="172" t="n">
        <f aca="false">I22*$B$7</f>
        <v>0</v>
      </c>
      <c r="P22" s="172" t="n">
        <f aca="false">J22*$B$8</f>
        <v>0</v>
      </c>
      <c r="Q22" s="172" t="n">
        <f aca="false">IF(ISNUMBER(K22),IF(K22&gt;=$B$9,$B$10,0),0)</f>
        <v>2</v>
      </c>
      <c r="R22" s="172" t="n">
        <f aca="false">$B$11</f>
        <v>3</v>
      </c>
      <c r="S22" s="168" t="n">
        <f aca="false">SUM(L22:R22)</f>
        <v>11</v>
      </c>
    </row>
    <row r="23" customFormat="false" ht="15" hidden="false" customHeight="true" outlineLevel="0" collapsed="false">
      <c r="A23" s="163" t="n">
        <f aca="false">RANK(S23,$S$17:$S$38,0)</f>
        <v>18</v>
      </c>
      <c r="B23" s="169" t="s">
        <v>127</v>
      </c>
      <c r="C23" s="170" t="s">
        <v>128</v>
      </c>
      <c r="D23" s="170" t="s">
        <v>186</v>
      </c>
      <c r="E23" s="171" t="s">
        <v>188</v>
      </c>
      <c r="F23" s="171" t="n">
        <f aca="false">SUMPRODUCT(('Imputation Metrics Properties'!$P$5:$Z$5="+1")*('Imputation Metrics Properties'!P22:Z22&lt;&gt;""))</f>
        <v>0</v>
      </c>
      <c r="G23" s="171" t="n">
        <f aca="false">'Imputation Metrics Properties'!G22-F23</f>
        <v>0</v>
      </c>
      <c r="H23" s="171" t="n">
        <f aca="false">SUMPRODUCT(('Imputation Metrics Properties'!$AA$5:$CB$5="+1")*ISNUMBER(SEARCH("IMP",'Imputation Metrics Properties'!AA22:CB22)))</f>
        <v>0</v>
      </c>
      <c r="I23" s="171" t="n">
        <f aca="false">'Imputation Metrics Properties'!H22-H23</f>
        <v>0</v>
      </c>
      <c r="J23" s="171" t="n">
        <f aca="false">'Imputation Metrics Properties'!I22</f>
        <v>1</v>
      </c>
      <c r="K23" s="172" t="str">
        <f aca="false">IFERROR((SUMPRODUCT(('Imputation Metrics Properties'!P22:Z22&lt;&gt;"")*'Imputation Metrics Properties'!$P$6:$Z$6)+SUMPRODUCT(ISNUMBER(SEARCH("IMP",'Imputation Metrics Properties'!AA22:CB22))*'Imputation Metrics Properties'!$AA$6:$CB$6))/('Imputation Metrics Properties'!G22+'Imputation Metrics Properties'!H22),"")</f>
        <v/>
      </c>
      <c r="L23" s="172" t="n">
        <f aca="false">F23*$B$4</f>
        <v>0</v>
      </c>
      <c r="M23" s="172" t="n">
        <f aca="false">G23*$B$5</f>
        <v>0</v>
      </c>
      <c r="N23" s="172" t="n">
        <f aca="false">H23*$B$6</f>
        <v>0</v>
      </c>
      <c r="O23" s="172" t="n">
        <f aca="false">I23*$B$7</f>
        <v>0</v>
      </c>
      <c r="P23" s="172" t="n">
        <f aca="false">J23*$B$8</f>
        <v>2</v>
      </c>
      <c r="Q23" s="172" t="n">
        <f aca="false">IF(ISNUMBER(K23),IF(K23&gt;=$B$9,$B$10,0),0)</f>
        <v>0</v>
      </c>
      <c r="R23" s="172" t="n">
        <f aca="false">$B$11</f>
        <v>3</v>
      </c>
      <c r="S23" s="168" t="n">
        <f aca="false">SUM(L23:R23)</f>
        <v>5</v>
      </c>
    </row>
    <row r="24" customFormat="false" ht="15" hidden="false" customHeight="true" outlineLevel="0" collapsed="false">
      <c r="A24" s="163" t="n">
        <f aca="false">RANK(S24,$S$17:$S$38,0)</f>
        <v>6</v>
      </c>
      <c r="B24" s="164" t="s">
        <v>109</v>
      </c>
      <c r="C24" s="165" t="s">
        <v>110</v>
      </c>
      <c r="D24" s="165" t="s">
        <v>186</v>
      </c>
      <c r="E24" s="166" t="s">
        <v>208</v>
      </c>
      <c r="F24" s="166" t="n">
        <f aca="false">SUMPRODUCT(('Imputation Metrics Properties'!$P$5:$Z$5="+1")*('Imputation Metrics Properties'!P15:Z15&lt;&gt;""))</f>
        <v>1</v>
      </c>
      <c r="G24" s="166" t="n">
        <f aca="false">'Imputation Metrics Properties'!G15-F24</f>
        <v>1</v>
      </c>
      <c r="H24" s="166" t="n">
        <f aca="false">SUMPRODUCT(('Imputation Metrics Properties'!$AA$5:$CB$5="+1")*ISNUMBER(SEARCH("IMP",'Imputation Metrics Properties'!AA15:CB15)))</f>
        <v>1</v>
      </c>
      <c r="I24" s="166" t="n">
        <f aca="false">'Imputation Metrics Properties'!H15-H24</f>
        <v>0</v>
      </c>
      <c r="J24" s="166" t="n">
        <f aca="false">'Imputation Metrics Properties'!I15</f>
        <v>0</v>
      </c>
      <c r="K24" s="167" t="n">
        <f aca="false">IFERROR((SUMPRODUCT(('Imputation Metrics Properties'!P15:Z15&lt;&gt;"")*'Imputation Metrics Properties'!$P$6:$Z$6)+SUMPRODUCT(ISNUMBER(SEARCH("IMP",'Imputation Metrics Properties'!AA15:CB15))*'Imputation Metrics Properties'!$AA$6:$CB$6))/('Imputation Metrics Properties'!G15+'Imputation Metrics Properties'!H15),"")</f>
        <v>2023</v>
      </c>
      <c r="L24" s="167" t="n">
        <f aca="false">F24*$B$4</f>
        <v>3</v>
      </c>
      <c r="M24" s="167" t="n">
        <f aca="false">G24*$B$5</f>
        <v>1</v>
      </c>
      <c r="N24" s="167" t="n">
        <f aca="false">H24*$B$6</f>
        <v>1</v>
      </c>
      <c r="O24" s="167" t="n">
        <f aca="false">I24*$B$7</f>
        <v>0</v>
      </c>
      <c r="P24" s="167" t="n">
        <f aca="false">J24*$B$8</f>
        <v>0</v>
      </c>
      <c r="Q24" s="167" t="n">
        <f aca="false">IF(ISNUMBER(K24),IF(K24&gt;=$B$9,$B$10,0),0)</f>
        <v>2</v>
      </c>
      <c r="R24" s="167" t="n">
        <f aca="false">$B$11</f>
        <v>3</v>
      </c>
      <c r="S24" s="168" t="n">
        <f aca="false">SUM(L24:R24)</f>
        <v>10</v>
      </c>
    </row>
    <row r="25" customFormat="false" ht="15" hidden="false" customHeight="true" outlineLevel="0" collapsed="false">
      <c r="A25" s="163" t="n">
        <f aca="false">RANK(S25,$S$17:$S$38,0)</f>
        <v>6</v>
      </c>
      <c r="B25" s="164" t="s">
        <v>131</v>
      </c>
      <c r="C25" s="165" t="s">
        <v>132</v>
      </c>
      <c r="D25" s="165" t="s">
        <v>186</v>
      </c>
      <c r="E25" s="166" t="s">
        <v>188</v>
      </c>
      <c r="F25" s="166" t="n">
        <f aca="false">SUMPRODUCT(('Imputation Metrics Properties'!$P$5:$Z$5="+1")*('Imputation Metrics Properties'!P23:Z23&lt;&gt;""))</f>
        <v>1</v>
      </c>
      <c r="G25" s="166" t="n">
        <f aca="false">'Imputation Metrics Properties'!G23-F25</f>
        <v>0</v>
      </c>
      <c r="H25" s="166" t="n">
        <f aca="false">SUMPRODUCT(('Imputation Metrics Properties'!$AA$5:$CB$5="+1")*ISNUMBER(SEARCH("IMP",'Imputation Metrics Properties'!AA23:CB23)))</f>
        <v>0</v>
      </c>
      <c r="I25" s="166" t="n">
        <f aca="false">'Imputation Metrics Properties'!H23-H25</f>
        <v>0</v>
      </c>
      <c r="J25" s="166" t="n">
        <f aca="false">'Imputation Metrics Properties'!I23</f>
        <v>1</v>
      </c>
      <c r="K25" s="167" t="n">
        <f aca="false">IFERROR((SUMPRODUCT(('Imputation Metrics Properties'!P23:Z23&lt;&gt;"")*'Imputation Metrics Properties'!$P$6:$Z$6)+SUMPRODUCT(ISNUMBER(SEARCH("IMP",'Imputation Metrics Properties'!AA23:CB23))*'Imputation Metrics Properties'!$AA$6:$CB$6))/('Imputation Metrics Properties'!G23+'Imputation Metrics Properties'!H23),"")</f>
        <v>2026</v>
      </c>
      <c r="L25" s="167" t="n">
        <f aca="false">F25*$B$4</f>
        <v>3</v>
      </c>
      <c r="M25" s="167" t="n">
        <f aca="false">G25*$B$5</f>
        <v>0</v>
      </c>
      <c r="N25" s="167" t="n">
        <f aca="false">H25*$B$6</f>
        <v>0</v>
      </c>
      <c r="O25" s="167" t="n">
        <f aca="false">I25*$B$7</f>
        <v>0</v>
      </c>
      <c r="P25" s="167" t="n">
        <f aca="false">J25*$B$8</f>
        <v>2</v>
      </c>
      <c r="Q25" s="167" t="n">
        <f aca="false">IF(ISNUMBER(K25),IF(K25&gt;=$B$9,$B$10,0),0)</f>
        <v>2</v>
      </c>
      <c r="R25" s="167" t="n">
        <f aca="false">$B$11</f>
        <v>3</v>
      </c>
      <c r="S25" s="168" t="n">
        <f aca="false">SUM(L25:R25)</f>
        <v>10</v>
      </c>
    </row>
    <row r="26" customFormat="false" ht="15" hidden="false" customHeight="true" outlineLevel="0" collapsed="false">
      <c r="A26" s="163" t="n">
        <f aca="false">RANK(S26,$S$17:$S$38,0)</f>
        <v>10</v>
      </c>
      <c r="B26" s="164" t="s">
        <v>133</v>
      </c>
      <c r="C26" s="165" t="s">
        <v>134</v>
      </c>
      <c r="D26" s="165" t="s">
        <v>186</v>
      </c>
      <c r="E26" s="166" t="s">
        <v>188</v>
      </c>
      <c r="F26" s="166" t="n">
        <f aca="false">SUMPRODUCT(('Imputation Metrics Properties'!$P$5:$Z$5="+1")*('Imputation Metrics Properties'!P24:Z24&lt;&gt;""))</f>
        <v>1</v>
      </c>
      <c r="G26" s="166" t="n">
        <f aca="false">'Imputation Metrics Properties'!G24-F26</f>
        <v>0</v>
      </c>
      <c r="H26" s="166" t="n">
        <f aca="false">SUMPRODUCT(('Imputation Metrics Properties'!$AA$5:$CB$5="+1")*ISNUMBER(SEARCH("IMP",'Imputation Metrics Properties'!AA24:CB24)))</f>
        <v>1</v>
      </c>
      <c r="I26" s="166" t="n">
        <f aca="false">'Imputation Metrics Properties'!H24-H26</f>
        <v>0</v>
      </c>
      <c r="J26" s="166" t="n">
        <f aca="false">'Imputation Metrics Properties'!I24</f>
        <v>0</v>
      </c>
      <c r="K26" s="167" t="n">
        <f aca="false">IFERROR((SUMPRODUCT(('Imputation Metrics Properties'!P24:Z24&lt;&gt;"")*'Imputation Metrics Properties'!$P$6:$Z$6)+SUMPRODUCT(ISNUMBER(SEARCH("IMP",'Imputation Metrics Properties'!AA24:CB24))*'Imputation Metrics Properties'!$AA$6:$CB$6))/('Imputation Metrics Properties'!G24+'Imputation Metrics Properties'!H24),"")</f>
        <v>2023.5</v>
      </c>
      <c r="L26" s="167" t="n">
        <f aca="false">F26*$B$4</f>
        <v>3</v>
      </c>
      <c r="M26" s="167" t="n">
        <f aca="false">G26*$B$5</f>
        <v>0</v>
      </c>
      <c r="N26" s="167" t="n">
        <f aca="false">H26*$B$6</f>
        <v>1</v>
      </c>
      <c r="O26" s="167" t="n">
        <f aca="false">I26*$B$7</f>
        <v>0</v>
      </c>
      <c r="P26" s="167" t="n">
        <f aca="false">J26*$B$8</f>
        <v>0</v>
      </c>
      <c r="Q26" s="167" t="n">
        <f aca="false">IF(ISNUMBER(K26),IF(K26&gt;=$B$9,$B$10,0),0)</f>
        <v>2</v>
      </c>
      <c r="R26" s="167" t="n">
        <f aca="false">$B$11</f>
        <v>3</v>
      </c>
      <c r="S26" s="168" t="n">
        <f aca="false">SUM(L26:R26)</f>
        <v>9</v>
      </c>
    </row>
    <row r="27" customFormat="false" ht="15" hidden="false" customHeight="true" outlineLevel="0" collapsed="false">
      <c r="A27" s="163" t="n">
        <f aca="false">RANK(S27,$S$17:$S$38,0)</f>
        <v>6</v>
      </c>
      <c r="B27" s="164" t="s">
        <v>113</v>
      </c>
      <c r="C27" s="165" t="s">
        <v>114</v>
      </c>
      <c r="D27" s="165" t="s">
        <v>211</v>
      </c>
      <c r="E27" s="166" t="s">
        <v>188</v>
      </c>
      <c r="F27" s="166" t="n">
        <f aca="false">SUMPRODUCT(('Imputation Metrics Properties'!$P$5:$Z$5="+1")*('Imputation Metrics Properties'!P17:Z17&lt;&gt;""))</f>
        <v>0</v>
      </c>
      <c r="G27" s="166" t="n">
        <f aca="false">'Imputation Metrics Properties'!G17-F27</f>
        <v>0</v>
      </c>
      <c r="H27" s="166" t="n">
        <f aca="false">SUMPRODUCT(('Imputation Metrics Properties'!$AA$5:$CB$5="+1")*ISNUMBER(SEARCH("IMP",'Imputation Metrics Properties'!AA17:CB17)))</f>
        <v>6</v>
      </c>
      <c r="I27" s="166" t="n">
        <f aca="false">'Imputation Metrics Properties'!H17-H27</f>
        <v>0</v>
      </c>
      <c r="J27" s="166" t="n">
        <f aca="false">'Imputation Metrics Properties'!I17</f>
        <v>1</v>
      </c>
      <c r="K27" s="167" t="n">
        <f aca="false">IFERROR((SUMPRODUCT(('Imputation Metrics Properties'!P17:Z17&lt;&gt;"")*'Imputation Metrics Properties'!$P$6:$Z$6)+SUMPRODUCT(ISNUMBER(SEARCH("IMP",'Imputation Metrics Properties'!AA17:CB17))*'Imputation Metrics Properties'!$AA$6:$CB$6))/('Imputation Metrics Properties'!G17+'Imputation Metrics Properties'!H17),"")</f>
        <v>2023.33333333333</v>
      </c>
      <c r="L27" s="167" t="n">
        <f aca="false">F27*$B$4</f>
        <v>0</v>
      </c>
      <c r="M27" s="167" t="n">
        <f aca="false">G27*$B$5</f>
        <v>0</v>
      </c>
      <c r="N27" s="167" t="n">
        <f aca="false">H27*$B$6</f>
        <v>6</v>
      </c>
      <c r="O27" s="167" t="n">
        <f aca="false">I27*$B$7</f>
        <v>0</v>
      </c>
      <c r="P27" s="167" t="n">
        <f aca="false">J27*$B$8</f>
        <v>2</v>
      </c>
      <c r="Q27" s="167" t="n">
        <f aca="false">IF(ISNUMBER(K27),IF(K27&gt;=$B$9,$B$10,0),0)</f>
        <v>2</v>
      </c>
      <c r="R27" s="167" t="n">
        <f aca="false">0</f>
        <v>0</v>
      </c>
      <c r="S27" s="168" t="n">
        <f aca="false">SUM(L27:R27)</f>
        <v>10</v>
      </c>
    </row>
    <row r="28" customFormat="false" ht="15" hidden="false" customHeight="true" outlineLevel="0" collapsed="false">
      <c r="A28" s="163" t="n">
        <f aca="false">RANK(S28,$S$17:$S$38,0)</f>
        <v>10</v>
      </c>
      <c r="B28" s="169" t="s">
        <v>119</v>
      </c>
      <c r="C28" s="170" t="s">
        <v>120</v>
      </c>
      <c r="D28" s="170" t="s">
        <v>186</v>
      </c>
      <c r="E28" s="171" t="s">
        <v>188</v>
      </c>
      <c r="F28" s="171" t="n">
        <f aca="false">SUMPRODUCT(('Imputation Metrics Properties'!$P$5:$Z$5="+1")*('Imputation Metrics Properties'!P19:Z19&lt;&gt;""))</f>
        <v>1</v>
      </c>
      <c r="G28" s="171" t="n">
        <f aca="false">'Imputation Metrics Properties'!G19-F28</f>
        <v>1</v>
      </c>
      <c r="H28" s="171" t="n">
        <f aca="false">SUMPRODUCT(('Imputation Metrics Properties'!$AA$5:$CB$5="+1")*ISNUMBER(SEARCH("IMP",'Imputation Metrics Properties'!AA19:CB19)))</f>
        <v>0</v>
      </c>
      <c r="I28" s="171" t="n">
        <f aca="false">'Imputation Metrics Properties'!H19-H28</f>
        <v>0</v>
      </c>
      <c r="J28" s="171" t="n">
        <f aca="false">'Imputation Metrics Properties'!I19</f>
        <v>0</v>
      </c>
      <c r="K28" s="172" t="n">
        <f aca="false">IFERROR((SUMPRODUCT(('Imputation Metrics Properties'!P19:Z19&lt;&gt;"")*'Imputation Metrics Properties'!$P$6:$Z$6)+SUMPRODUCT(ISNUMBER(SEARCH("IMP",'Imputation Metrics Properties'!AA19:CB19))*'Imputation Metrics Properties'!$AA$6:$CB$6))/('Imputation Metrics Properties'!G19+'Imputation Metrics Properties'!H19),"")</f>
        <v>2024.5</v>
      </c>
      <c r="L28" s="172" t="n">
        <f aca="false">F28*$B$4</f>
        <v>3</v>
      </c>
      <c r="M28" s="172" t="n">
        <f aca="false">G28*$B$5</f>
        <v>1</v>
      </c>
      <c r="N28" s="172" t="n">
        <f aca="false">H28*$B$6</f>
        <v>0</v>
      </c>
      <c r="O28" s="172" t="n">
        <f aca="false">I28*$B$7</f>
        <v>0</v>
      </c>
      <c r="P28" s="172" t="n">
        <f aca="false">J28*$B$8</f>
        <v>0</v>
      </c>
      <c r="Q28" s="172" t="n">
        <f aca="false">IF(ISNUMBER(K28),IF(K28&gt;=$B$9,$B$10,0),0)</f>
        <v>2</v>
      </c>
      <c r="R28" s="172" t="n">
        <f aca="false">$B$11</f>
        <v>3</v>
      </c>
      <c r="S28" s="168" t="n">
        <f aca="false">SUM(L28:R28)</f>
        <v>9</v>
      </c>
    </row>
    <row r="29" customFormat="false" ht="15" hidden="false" customHeight="true" outlineLevel="0" collapsed="false">
      <c r="A29" s="163" t="n">
        <f aca="false">RANK(S29,$S$17:$S$38,0)</f>
        <v>12</v>
      </c>
      <c r="B29" s="169" t="s">
        <v>135</v>
      </c>
      <c r="C29" s="170" t="s">
        <v>136</v>
      </c>
      <c r="D29" s="170" t="s">
        <v>186</v>
      </c>
      <c r="E29" s="171" t="s">
        <v>188</v>
      </c>
      <c r="F29" s="171" t="n">
        <f aca="false">SUMPRODUCT(('Imputation Metrics Properties'!$P$5:$Z$5="+1")*('Imputation Metrics Properties'!P25:Z25&lt;&gt;""))</f>
        <v>1</v>
      </c>
      <c r="G29" s="171" t="n">
        <f aca="false">'Imputation Metrics Properties'!G25-F29</f>
        <v>0</v>
      </c>
      <c r="H29" s="171" t="n">
        <f aca="false">SUMPRODUCT(('Imputation Metrics Properties'!$AA$5:$CB$5="+1")*ISNUMBER(SEARCH("IMP",'Imputation Metrics Properties'!AA25:CB25)))</f>
        <v>0</v>
      </c>
      <c r="I29" s="171" t="n">
        <f aca="false">'Imputation Metrics Properties'!H25-H29</f>
        <v>0</v>
      </c>
      <c r="J29" s="171" t="n">
        <f aca="false">'Imputation Metrics Properties'!I25</f>
        <v>0</v>
      </c>
      <c r="K29" s="172" t="n">
        <f aca="false">IFERROR((SUMPRODUCT(('Imputation Metrics Properties'!P25:Z25&lt;&gt;"")*'Imputation Metrics Properties'!$P$6:$Z$6)+SUMPRODUCT(ISNUMBER(SEARCH("IMP",'Imputation Metrics Properties'!AA25:CB25))*'Imputation Metrics Properties'!$AA$6:$CB$6))/('Imputation Metrics Properties'!G25+'Imputation Metrics Properties'!H25),"")</f>
        <v>2025</v>
      </c>
      <c r="L29" s="172" t="n">
        <f aca="false">F29*$B$4</f>
        <v>3</v>
      </c>
      <c r="M29" s="172" t="n">
        <f aca="false">G29*$B$5</f>
        <v>0</v>
      </c>
      <c r="N29" s="172" t="n">
        <f aca="false">H29*$B$6</f>
        <v>0</v>
      </c>
      <c r="O29" s="172" t="n">
        <f aca="false">I29*$B$7</f>
        <v>0</v>
      </c>
      <c r="P29" s="172" t="n">
        <f aca="false">J29*$B$8</f>
        <v>0</v>
      </c>
      <c r="Q29" s="172" t="n">
        <f aca="false">IF(ISNUMBER(K29),IF(K29&gt;=$B$9,$B$10,0),0)</f>
        <v>2</v>
      </c>
      <c r="R29" s="172" t="n">
        <f aca="false">$B$11</f>
        <v>3</v>
      </c>
      <c r="S29" s="168" t="n">
        <f aca="false">SUM(L29:R29)</f>
        <v>8</v>
      </c>
    </row>
    <row r="30" customFormat="false" ht="15" hidden="false" customHeight="true" outlineLevel="0" collapsed="false">
      <c r="A30" s="163" t="n">
        <f aca="false">RANK(S30,$S$17:$S$38,0)</f>
        <v>12</v>
      </c>
      <c r="B30" s="169" t="s">
        <v>139</v>
      </c>
      <c r="C30" s="170" t="s">
        <v>140</v>
      </c>
      <c r="D30" s="170" t="s">
        <v>186</v>
      </c>
      <c r="E30" s="171" t="s">
        <v>188</v>
      </c>
      <c r="F30" s="171" t="n">
        <f aca="false">SUMPRODUCT(('Imputation Metrics Properties'!$P$5:$Z$5="+1")*('Imputation Metrics Properties'!P26:Z26&lt;&gt;""))</f>
        <v>1</v>
      </c>
      <c r="G30" s="171" t="n">
        <f aca="false">'Imputation Metrics Properties'!G26-F30</f>
        <v>0</v>
      </c>
      <c r="H30" s="171" t="n">
        <f aca="false">SUMPRODUCT(('Imputation Metrics Properties'!$AA$5:$CB$5="+1")*ISNUMBER(SEARCH("IMP",'Imputation Metrics Properties'!AA26:CB26)))</f>
        <v>0</v>
      </c>
      <c r="I30" s="171" t="n">
        <f aca="false">'Imputation Metrics Properties'!H26-H30</f>
        <v>0</v>
      </c>
      <c r="J30" s="171" t="n">
        <f aca="false">'Imputation Metrics Properties'!I26</f>
        <v>0</v>
      </c>
      <c r="K30" s="172" t="n">
        <f aca="false">IFERROR((SUMPRODUCT(('Imputation Metrics Properties'!P26:Z26&lt;&gt;"")*'Imputation Metrics Properties'!$P$6:$Z$6)+SUMPRODUCT(ISNUMBER(SEARCH("IMP",'Imputation Metrics Properties'!AA26:CB26))*'Imputation Metrics Properties'!$AA$6:$CB$6))/('Imputation Metrics Properties'!G26+'Imputation Metrics Properties'!H26),"")</f>
        <v>2026</v>
      </c>
      <c r="L30" s="172" t="n">
        <f aca="false">F30*$B$4</f>
        <v>3</v>
      </c>
      <c r="M30" s="172" t="n">
        <f aca="false">G30*$B$5</f>
        <v>0</v>
      </c>
      <c r="N30" s="172" t="n">
        <f aca="false">H30*$B$6</f>
        <v>0</v>
      </c>
      <c r="O30" s="172" t="n">
        <f aca="false">I30*$B$7</f>
        <v>0</v>
      </c>
      <c r="P30" s="172" t="n">
        <f aca="false">J30*$B$8</f>
        <v>0</v>
      </c>
      <c r="Q30" s="172" t="n">
        <f aca="false">IF(ISNUMBER(K30),IF(K30&gt;=$B$9,$B$10,0),0)</f>
        <v>2</v>
      </c>
      <c r="R30" s="172" t="n">
        <f aca="false">$B$11</f>
        <v>3</v>
      </c>
      <c r="S30" s="168" t="n">
        <f aca="false">SUM(L30:R30)</f>
        <v>8</v>
      </c>
    </row>
    <row r="31" customFormat="false" ht="15" hidden="false" customHeight="true" outlineLevel="0" collapsed="false">
      <c r="A31" s="163" t="n">
        <f aca="false">RANK(S31,$S$17:$S$38,0)</f>
        <v>14</v>
      </c>
      <c r="B31" s="164" t="s">
        <v>101</v>
      </c>
      <c r="C31" s="165" t="s">
        <v>102</v>
      </c>
      <c r="D31" s="165" t="s">
        <v>186</v>
      </c>
      <c r="E31" s="166" t="s">
        <v>188</v>
      </c>
      <c r="F31" s="166" t="n">
        <f aca="false">SUMPRODUCT(('Imputation Metrics Properties'!$P$5:$Z$5="+1")*('Imputation Metrics Properties'!P12:Z12&lt;&gt;""))</f>
        <v>0</v>
      </c>
      <c r="G31" s="166" t="n">
        <f aca="false">'Imputation Metrics Properties'!G12-F31</f>
        <v>0</v>
      </c>
      <c r="H31" s="166" t="n">
        <f aca="false">SUMPRODUCT(('Imputation Metrics Properties'!$AA$5:$CB$5="+1")*ISNUMBER(SEARCH("IMP",'Imputation Metrics Properties'!AA12:CB12)))</f>
        <v>4</v>
      </c>
      <c r="I31" s="166" t="n">
        <f aca="false">'Imputation Metrics Properties'!H12-H31</f>
        <v>0</v>
      </c>
      <c r="J31" s="166" t="n">
        <f aca="false">'Imputation Metrics Properties'!I12</f>
        <v>0</v>
      </c>
      <c r="K31" s="167" t="n">
        <f aca="false">IFERROR((SUMPRODUCT(('Imputation Metrics Properties'!P12:Z12&lt;&gt;"")*'Imputation Metrics Properties'!$P$6:$Z$6)+SUMPRODUCT(ISNUMBER(SEARCH("IMP",'Imputation Metrics Properties'!AA12:CB12))*'Imputation Metrics Properties'!$AA$6:$CB$6))/('Imputation Metrics Properties'!G12+'Imputation Metrics Properties'!H12),"")</f>
        <v>2012.25</v>
      </c>
      <c r="L31" s="167" t="n">
        <f aca="false">F31*$B$4</f>
        <v>0</v>
      </c>
      <c r="M31" s="167" t="n">
        <f aca="false">G31*$B$5</f>
        <v>0</v>
      </c>
      <c r="N31" s="167" t="n">
        <f aca="false">H31*$B$6</f>
        <v>4</v>
      </c>
      <c r="O31" s="167" t="n">
        <f aca="false">I31*$B$7</f>
        <v>0</v>
      </c>
      <c r="P31" s="167" t="n">
        <f aca="false">J31*$B$8</f>
        <v>0</v>
      </c>
      <c r="Q31" s="167" t="n">
        <f aca="false">IF(ISNUMBER(K31),IF(K31&gt;=$B$9,$B$10,0),0)</f>
        <v>0</v>
      </c>
      <c r="R31" s="167" t="n">
        <f aca="false">$B$11</f>
        <v>3</v>
      </c>
      <c r="S31" s="168" t="n">
        <f aca="false">SUM(L31:R31)</f>
        <v>7</v>
      </c>
    </row>
    <row r="32" customFormat="false" ht="15" hidden="false" customHeight="true" outlineLevel="0" collapsed="false">
      <c r="A32" s="163" t="n">
        <f aca="false">RANK(S32,$S$17:$S$38,0)</f>
        <v>14</v>
      </c>
      <c r="B32" s="169" t="s">
        <v>111</v>
      </c>
      <c r="C32" s="170" t="s">
        <v>112</v>
      </c>
      <c r="D32" s="170" t="s">
        <v>186</v>
      </c>
      <c r="E32" s="171" t="s">
        <v>208</v>
      </c>
      <c r="F32" s="171" t="n">
        <f aca="false">SUMPRODUCT(('Imputation Metrics Properties'!$P$5:$Z$5="+1")*('Imputation Metrics Properties'!P16:Z16&lt;&gt;""))</f>
        <v>1</v>
      </c>
      <c r="G32" s="171" t="n">
        <f aca="false">'Imputation Metrics Properties'!G16-F32</f>
        <v>0</v>
      </c>
      <c r="H32" s="171" t="n">
        <f aca="false">SUMPRODUCT(('Imputation Metrics Properties'!$AA$5:$CB$5="+1")*ISNUMBER(SEARCH("IMP",'Imputation Metrics Properties'!AA16:CB16)))</f>
        <v>1</v>
      </c>
      <c r="I32" s="171" t="n">
        <f aca="false">'Imputation Metrics Properties'!H16-H32</f>
        <v>0</v>
      </c>
      <c r="J32" s="171" t="n">
        <f aca="false">'Imputation Metrics Properties'!I16</f>
        <v>0</v>
      </c>
      <c r="K32" s="172" t="n">
        <f aca="false">IFERROR((SUMPRODUCT(('Imputation Metrics Properties'!P16:Z16&lt;&gt;"")*'Imputation Metrics Properties'!$P$6:$Z$6)+SUMPRODUCT(ISNUMBER(SEARCH("IMP",'Imputation Metrics Properties'!AA16:CB16))*'Imputation Metrics Properties'!$AA$6:$CB$6))/('Imputation Metrics Properties'!G16+'Imputation Metrics Properties'!H16),"")</f>
        <v>2022</v>
      </c>
      <c r="L32" s="172" t="n">
        <f aca="false">F32*$B$4</f>
        <v>3</v>
      </c>
      <c r="M32" s="172" t="n">
        <f aca="false">G32*$B$5</f>
        <v>0</v>
      </c>
      <c r="N32" s="172" t="n">
        <f aca="false">H32*$B$6</f>
        <v>1</v>
      </c>
      <c r="O32" s="172" t="n">
        <f aca="false">I32*$B$7</f>
        <v>0</v>
      </c>
      <c r="P32" s="172" t="n">
        <f aca="false">J32*$B$8</f>
        <v>0</v>
      </c>
      <c r="Q32" s="172" t="n">
        <f aca="false">IF(ISNUMBER(K32),IF(K32&gt;=$B$9,$B$10,0),0)</f>
        <v>0</v>
      </c>
      <c r="R32" s="172" t="n">
        <f aca="false">$B$11</f>
        <v>3</v>
      </c>
      <c r="S32" s="168" t="n">
        <f aca="false">SUM(L32:R32)</f>
        <v>7</v>
      </c>
    </row>
    <row r="33" customFormat="false" ht="15" hidden="false" customHeight="true" outlineLevel="0" collapsed="false">
      <c r="A33" s="163" t="n">
        <f aca="false">RANK(S33,$S$17:$S$38,0)</f>
        <v>14</v>
      </c>
      <c r="B33" s="164" t="s">
        <v>123</v>
      </c>
      <c r="C33" s="165" t="s">
        <v>124</v>
      </c>
      <c r="D33" s="165" t="s">
        <v>186</v>
      </c>
      <c r="E33" s="166" t="s">
        <v>188</v>
      </c>
      <c r="F33" s="166" t="n">
        <f aca="false">SUMPRODUCT(('Imputation Metrics Properties'!$P$5:$Z$5="+1")*('Imputation Metrics Properties'!P20:Z20&lt;&gt;""))</f>
        <v>0</v>
      </c>
      <c r="G33" s="166" t="n">
        <f aca="false">'Imputation Metrics Properties'!G20-F33</f>
        <v>1</v>
      </c>
      <c r="H33" s="166" t="n">
        <f aca="false">SUMPRODUCT(('Imputation Metrics Properties'!$AA$5:$CB$5="+1")*ISNUMBER(SEARCH("IMP",'Imputation Metrics Properties'!AA20:CB20)))</f>
        <v>1</v>
      </c>
      <c r="I33" s="166" t="n">
        <f aca="false">'Imputation Metrics Properties'!H20-H33</f>
        <v>0</v>
      </c>
      <c r="J33" s="166" t="n">
        <f aca="false">'Imputation Metrics Properties'!I20</f>
        <v>0</v>
      </c>
      <c r="K33" s="167" t="n">
        <f aca="false">IFERROR((SUMPRODUCT(('Imputation Metrics Properties'!P20:Z20&lt;&gt;"")*'Imputation Metrics Properties'!$P$6:$Z$6)+SUMPRODUCT(ISNUMBER(SEARCH("IMP",'Imputation Metrics Properties'!AA20:CB20))*'Imputation Metrics Properties'!$AA$6:$CB$6))/('Imputation Metrics Properties'!G20+'Imputation Metrics Properties'!H20),"")</f>
        <v>2023.5</v>
      </c>
      <c r="L33" s="167" t="n">
        <f aca="false">F33*$B$4</f>
        <v>0</v>
      </c>
      <c r="M33" s="167" t="n">
        <f aca="false">G33*$B$5</f>
        <v>1</v>
      </c>
      <c r="N33" s="167" t="n">
        <f aca="false">H33*$B$6</f>
        <v>1</v>
      </c>
      <c r="O33" s="167" t="n">
        <f aca="false">I33*$B$7</f>
        <v>0</v>
      </c>
      <c r="P33" s="167" t="n">
        <f aca="false">J33*$B$8</f>
        <v>0</v>
      </c>
      <c r="Q33" s="167" t="n">
        <f aca="false">IF(ISNUMBER(K33),IF(K33&gt;=$B$9,$B$10,0),0)</f>
        <v>2</v>
      </c>
      <c r="R33" s="167" t="n">
        <f aca="false">$B$11</f>
        <v>3</v>
      </c>
      <c r="S33" s="168" t="n">
        <f aca="false">SUM(L33:R33)</f>
        <v>7</v>
      </c>
    </row>
    <row r="34" customFormat="false" ht="15" hidden="false" customHeight="true" outlineLevel="0" collapsed="false">
      <c r="A34" s="163" t="n">
        <f aca="false">RANK(S34,$S$17:$S$38,0)</f>
        <v>17</v>
      </c>
      <c r="B34" s="164" t="s">
        <v>137</v>
      </c>
      <c r="C34" s="165" t="s">
        <v>138</v>
      </c>
      <c r="D34" s="165" t="s">
        <v>186</v>
      </c>
      <c r="E34" s="166" t="s">
        <v>188</v>
      </c>
      <c r="F34" s="166" t="n">
        <f aca="false">SUMPRODUCT(('Imputation Metrics Properties'!$P$5:$Z$5="+1")*('Imputation Metrics Properties'!P27:Z27&lt;&gt;""))</f>
        <v>1</v>
      </c>
      <c r="G34" s="166" t="n">
        <f aca="false">'Imputation Metrics Properties'!G27-F34</f>
        <v>0</v>
      </c>
      <c r="H34" s="166" t="n">
        <f aca="false">SUMPRODUCT(('Imputation Metrics Properties'!$AA$5:$CB$5="+1")*ISNUMBER(SEARCH("IMP",'Imputation Metrics Properties'!AA27:CB27)))</f>
        <v>0</v>
      </c>
      <c r="I34" s="166" t="n">
        <f aca="false">'Imputation Metrics Properties'!H27-H34</f>
        <v>0</v>
      </c>
      <c r="J34" s="166" t="n">
        <f aca="false">'Imputation Metrics Properties'!I27</f>
        <v>0</v>
      </c>
      <c r="K34" s="167" t="n">
        <f aca="false">IFERROR((SUMPRODUCT(('Imputation Metrics Properties'!P27:Z27&lt;&gt;"")*'Imputation Metrics Properties'!$P$6:$Z$6)+SUMPRODUCT(ISNUMBER(SEARCH("IMP",'Imputation Metrics Properties'!AA27:CB27))*'Imputation Metrics Properties'!$AA$6:$CB$6))/('Imputation Metrics Properties'!G27+'Imputation Metrics Properties'!H27),"")</f>
        <v>2022</v>
      </c>
      <c r="L34" s="167" t="n">
        <f aca="false">F34*$B$4</f>
        <v>3</v>
      </c>
      <c r="M34" s="167" t="n">
        <f aca="false">G34*$B$5</f>
        <v>0</v>
      </c>
      <c r="N34" s="167" t="n">
        <f aca="false">H34*$B$6</f>
        <v>0</v>
      </c>
      <c r="O34" s="167" t="n">
        <f aca="false">I34*$B$7</f>
        <v>0</v>
      </c>
      <c r="P34" s="167" t="n">
        <f aca="false">J34*$B$8</f>
        <v>0</v>
      </c>
      <c r="Q34" s="167" t="n">
        <f aca="false">IF(ISNUMBER(K34),IF(K34&gt;=$B$9,$B$10,0),0)</f>
        <v>0</v>
      </c>
      <c r="R34" s="167" t="n">
        <f aca="false">$B$11</f>
        <v>3</v>
      </c>
      <c r="S34" s="168" t="n">
        <f aca="false">SUM(L34:R34)</f>
        <v>6</v>
      </c>
    </row>
    <row r="35" customFormat="false" ht="15" hidden="false" customHeight="true" outlineLevel="0" collapsed="false">
      <c r="A35" s="163" t="n">
        <f aca="false">RANK(S35,$S$17:$S$38,0)</f>
        <v>21</v>
      </c>
      <c r="B35" s="169" t="s">
        <v>117</v>
      </c>
      <c r="C35" s="170" t="s">
        <v>118</v>
      </c>
      <c r="D35" s="170" t="s">
        <v>211</v>
      </c>
      <c r="E35" s="171" t="s">
        <v>188</v>
      </c>
      <c r="F35" s="171" t="n">
        <f aca="false">SUMPRODUCT(('Imputation Metrics Properties'!$P$5:$Z$5="+1")*('Imputation Metrics Properties'!P18:Z18&lt;&gt;""))</f>
        <v>0</v>
      </c>
      <c r="G35" s="171" t="n">
        <f aca="false">'Imputation Metrics Properties'!G18-F35</f>
        <v>0</v>
      </c>
      <c r="H35" s="171" t="n">
        <f aca="false">SUMPRODUCT(('Imputation Metrics Properties'!$AA$5:$CB$5="+1")*ISNUMBER(SEARCH("IMP",'Imputation Metrics Properties'!AA18:CB18)))</f>
        <v>3</v>
      </c>
      <c r="I35" s="171" t="n">
        <f aca="false">'Imputation Metrics Properties'!H18-H35</f>
        <v>0</v>
      </c>
      <c r="J35" s="171" t="n">
        <f aca="false">'Imputation Metrics Properties'!I18</f>
        <v>0</v>
      </c>
      <c r="K35" s="172" t="n">
        <f aca="false">IFERROR((SUMPRODUCT(('Imputation Metrics Properties'!P18:Z18&lt;&gt;"")*'Imputation Metrics Properties'!$P$6:$Z$6)+SUMPRODUCT(ISNUMBER(SEARCH("IMP",'Imputation Metrics Properties'!AA18:CB18))*'Imputation Metrics Properties'!$AA$6:$CB$6))/('Imputation Metrics Properties'!G18+'Imputation Metrics Properties'!H18),"")</f>
        <v>2022.66666666667</v>
      </c>
      <c r="L35" s="172" t="n">
        <f aca="false">F35*$B$4</f>
        <v>0</v>
      </c>
      <c r="M35" s="172" t="n">
        <f aca="false">G35*$B$5</f>
        <v>0</v>
      </c>
      <c r="N35" s="172" t="n">
        <f aca="false">H35*$B$6</f>
        <v>3</v>
      </c>
      <c r="O35" s="172" t="n">
        <f aca="false">I35*$B$7</f>
        <v>0</v>
      </c>
      <c r="P35" s="172" t="n">
        <f aca="false">J35*$B$8</f>
        <v>0</v>
      </c>
      <c r="Q35" s="172" t="n">
        <f aca="false">IF(ISNUMBER(K35),IF(K35&gt;=$B$9,$B$10,0),0)</f>
        <v>0</v>
      </c>
      <c r="R35" s="172" t="n">
        <f aca="false">0</f>
        <v>0</v>
      </c>
      <c r="S35" s="168" t="n">
        <f aca="false">SUM(L35:R35)</f>
        <v>3</v>
      </c>
    </row>
    <row r="36" customFormat="false" ht="15" hidden="false" customHeight="true" outlineLevel="0" collapsed="false">
      <c r="A36" s="163" t="n">
        <f aca="false">RANK(S36,$S$17:$S$38,0)</f>
        <v>19</v>
      </c>
      <c r="B36" s="164" t="s">
        <v>125</v>
      </c>
      <c r="C36" s="165" t="s">
        <v>126</v>
      </c>
      <c r="D36" s="165" t="s">
        <v>217</v>
      </c>
      <c r="E36" s="166" t="s">
        <v>188</v>
      </c>
      <c r="F36" s="166" t="n">
        <f aca="false">SUMPRODUCT(('Imputation Metrics Properties'!$P$5:$Z$5="+1")*('Imputation Metrics Properties'!P21:Z21&lt;&gt;""))</f>
        <v>0</v>
      </c>
      <c r="G36" s="166" t="n">
        <f aca="false">'Imputation Metrics Properties'!G21-F36</f>
        <v>0</v>
      </c>
      <c r="H36" s="166" t="n">
        <f aca="false">SUMPRODUCT(('Imputation Metrics Properties'!$AA$5:$CB$5="+1")*ISNUMBER(SEARCH("IMP",'Imputation Metrics Properties'!AA21:CB21)))</f>
        <v>1</v>
      </c>
      <c r="I36" s="166" t="n">
        <f aca="false">'Imputation Metrics Properties'!H21-H36</f>
        <v>0</v>
      </c>
      <c r="J36" s="166" t="n">
        <f aca="false">'Imputation Metrics Properties'!I21</f>
        <v>0</v>
      </c>
      <c r="K36" s="167" t="n">
        <f aca="false">IFERROR((SUMPRODUCT(('Imputation Metrics Properties'!P21:Z21&lt;&gt;"")*'Imputation Metrics Properties'!$P$6:$Z$6)+SUMPRODUCT(ISNUMBER(SEARCH("IMP",'Imputation Metrics Properties'!AA21:CB21))*'Imputation Metrics Properties'!$AA$6:$CB$6))/('Imputation Metrics Properties'!G21+'Imputation Metrics Properties'!H21),"")</f>
        <v>2025</v>
      </c>
      <c r="L36" s="167" t="n">
        <f aca="false">F36*$B$4</f>
        <v>0</v>
      </c>
      <c r="M36" s="167" t="n">
        <f aca="false">G36*$B$5</f>
        <v>0</v>
      </c>
      <c r="N36" s="167" t="n">
        <f aca="false">H36*$B$6</f>
        <v>1</v>
      </c>
      <c r="O36" s="167" t="n">
        <f aca="false">I36*$B$7</f>
        <v>0</v>
      </c>
      <c r="P36" s="167" t="n">
        <f aca="false">J36*$B$8</f>
        <v>0</v>
      </c>
      <c r="Q36" s="167" t="n">
        <f aca="false">IF(ISNUMBER(K36),IF(K36&gt;=$B$9,$B$10,0),0)</f>
        <v>2</v>
      </c>
      <c r="R36" s="167" t="n">
        <f aca="false">$B$12</f>
        <v>1</v>
      </c>
      <c r="S36" s="168" t="n">
        <f aca="false">SUM(L36:R36)</f>
        <v>4</v>
      </c>
    </row>
    <row r="37" customFormat="false" ht="15" hidden="false" customHeight="true" outlineLevel="0" collapsed="false">
      <c r="A37" s="163" t="n">
        <f aca="false">RANK(S37,$S$17:$S$38,0)</f>
        <v>19</v>
      </c>
      <c r="B37" s="169" t="s">
        <v>103</v>
      </c>
      <c r="C37" s="170" t="s">
        <v>104</v>
      </c>
      <c r="D37" s="170" t="s">
        <v>186</v>
      </c>
      <c r="E37" s="171" t="s">
        <v>188</v>
      </c>
      <c r="F37" s="171" t="n">
        <f aca="false">SUMPRODUCT(('Imputation Metrics Properties'!$P$5:$Z$5="+1")*('Imputation Metrics Properties'!P13:Z13&lt;&gt;""))</f>
        <v>0</v>
      </c>
      <c r="G37" s="171" t="n">
        <f aca="false">'Imputation Metrics Properties'!G13-F37</f>
        <v>0</v>
      </c>
      <c r="H37" s="171" t="n">
        <f aca="false">SUMPRODUCT(('Imputation Metrics Properties'!$AA$5:$CB$5="+1")*ISNUMBER(SEARCH("IMP",'Imputation Metrics Properties'!AA13:CB13)))</f>
        <v>1</v>
      </c>
      <c r="I37" s="171" t="n">
        <f aca="false">'Imputation Metrics Properties'!H13-H37</f>
        <v>0</v>
      </c>
      <c r="J37" s="171" t="n">
        <f aca="false">'Imputation Metrics Properties'!I13</f>
        <v>0</v>
      </c>
      <c r="K37" s="172" t="n">
        <f aca="false">IFERROR((SUMPRODUCT(('Imputation Metrics Properties'!P13:Z13&lt;&gt;"")*'Imputation Metrics Properties'!$P$6:$Z$6)+SUMPRODUCT(ISNUMBER(SEARCH("IMP",'Imputation Metrics Properties'!AA13:CB13))*'Imputation Metrics Properties'!$AA$6:$CB$6))/('Imputation Metrics Properties'!G13+'Imputation Metrics Properties'!H13),"")</f>
        <v>2016</v>
      </c>
      <c r="L37" s="172" t="n">
        <f aca="false">F37*$B$4</f>
        <v>0</v>
      </c>
      <c r="M37" s="172" t="n">
        <f aca="false">G37*$B$5</f>
        <v>0</v>
      </c>
      <c r="N37" s="172" t="n">
        <f aca="false">H37*$B$6</f>
        <v>1</v>
      </c>
      <c r="O37" s="172" t="n">
        <f aca="false">I37*$B$7</f>
        <v>0</v>
      </c>
      <c r="P37" s="172" t="n">
        <f aca="false">J37*$B$8</f>
        <v>0</v>
      </c>
      <c r="Q37" s="172" t="n">
        <f aca="false">IF(ISNUMBER(K37),IF(K37&gt;=$B$9,$B$10,0),0)</f>
        <v>0</v>
      </c>
      <c r="R37" s="172" t="n">
        <f aca="false">$B$11</f>
        <v>3</v>
      </c>
      <c r="S37" s="168" t="n">
        <f aca="false">SUM(L37:R37)</f>
        <v>4</v>
      </c>
    </row>
    <row r="38" customFormat="false" ht="15" hidden="false" customHeight="true" outlineLevel="0" collapsed="false">
      <c r="A38" s="163" t="n">
        <f aca="false">RANK(S38,$S$17:$S$38,0)</f>
        <v>22</v>
      </c>
      <c r="B38" s="164" t="s">
        <v>149</v>
      </c>
      <c r="C38" s="165" t="s">
        <v>149</v>
      </c>
      <c r="D38" s="165" t="s">
        <v>227</v>
      </c>
      <c r="E38" s="166" t="s">
        <v>188</v>
      </c>
      <c r="F38" s="166" t="n">
        <f aca="false">SUMPRODUCT(('Imputation Metrics Properties'!$P$5:$Z$5="+1")*('Imputation Metrics Properties'!P28:Z28&lt;&gt;""))</f>
        <v>0</v>
      </c>
      <c r="G38" s="166" t="n">
        <f aca="false">'Imputation Metrics Properties'!G28-F38</f>
        <v>0</v>
      </c>
      <c r="H38" s="166" t="n">
        <f aca="false">SUMPRODUCT(('Imputation Metrics Properties'!$AA$5:$CB$5="+1")*ISNUMBER(SEARCH("IMP",'Imputation Metrics Properties'!AA28:CB28)))</f>
        <v>1</v>
      </c>
      <c r="I38" s="166" t="n">
        <f aca="false">'Imputation Metrics Properties'!H28-H38</f>
        <v>0</v>
      </c>
      <c r="J38" s="166" t="n">
        <f aca="false">'Imputation Metrics Properties'!I28</f>
        <v>0</v>
      </c>
      <c r="K38" s="167" t="n">
        <f aca="false">IFERROR((SUMPRODUCT(('Imputation Metrics Properties'!P28:Z28&lt;&gt;"")*'Imputation Metrics Properties'!$P$6:$Z$6)+SUMPRODUCT(ISNUMBER(SEARCH("IMP",'Imputation Metrics Properties'!AA28:CB28))*'Imputation Metrics Properties'!$AA$6:$CB$6))/('Imputation Metrics Properties'!G28+'Imputation Metrics Properties'!H28),"")</f>
        <v>2012</v>
      </c>
      <c r="L38" s="167" t="n">
        <f aca="false">F38*$B$4</f>
        <v>0</v>
      </c>
      <c r="M38" s="167" t="n">
        <f aca="false">G38*$B$5</f>
        <v>0</v>
      </c>
      <c r="N38" s="167" t="n">
        <f aca="false">H38*$B$6</f>
        <v>1</v>
      </c>
      <c r="O38" s="167" t="n">
        <f aca="false">I38*$B$7</f>
        <v>0</v>
      </c>
      <c r="P38" s="167" t="n">
        <f aca="false">J38*$B$8</f>
        <v>0</v>
      </c>
      <c r="Q38" s="167" t="n">
        <f aca="false">IF(ISNUMBER(K38),IF(K38&gt;=$B$9,$B$10,0),0)</f>
        <v>0</v>
      </c>
      <c r="R38" s="167" t="n">
        <f aca="false">0</f>
        <v>0</v>
      </c>
      <c r="S38" s="168" t="n">
        <f aca="false">SUM(L38:R38)</f>
        <v>1</v>
      </c>
    </row>
  </sheetData>
  <mergeCells count="6">
    <mergeCell ref="A1:S1"/>
    <mergeCell ref="A3:C3"/>
    <mergeCell ref="A13:S13"/>
    <mergeCell ref="A15:D15"/>
    <mergeCell ref="E15:J15"/>
    <mergeCell ref="K15:Q1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42" zoomScaleNormal="142" zoomScalePageLayoutView="100" workbookViewId="0">
      <selection pane="topLeft" activeCell="D23" activeCellId="0" sqref="D23"/>
    </sheetView>
  </sheetViews>
  <sheetFormatPr defaultColWidth="10.6796875" defaultRowHeight="15" zeroHeight="false" outlineLevelRow="0" outlineLevelCol="0"/>
  <cols>
    <col collapsed="false" customWidth="true" hidden="false" outlineLevel="0" max="1" min="1" style="1" width="5.33"/>
    <col collapsed="false" customWidth="true" hidden="false" outlineLevel="0" max="2" min="2" style="173" width="15"/>
    <col collapsed="false" customWidth="true" hidden="false" outlineLevel="0" max="3" min="3" style="1" width="30.51"/>
    <col collapsed="false" customWidth="true" hidden="false" outlineLevel="0" max="4" min="4" style="1" width="20.33"/>
    <col collapsed="false" customWidth="true" hidden="false" outlineLevel="0" max="5" min="5" style="174" width="30.51"/>
    <col collapsed="false" customWidth="true" hidden="false" outlineLevel="0" max="6" min="6" style="1" width="15.51"/>
    <col collapsed="false" customWidth="true" hidden="false" outlineLevel="0" max="7" min="7" style="1" width="41.33"/>
  </cols>
  <sheetData>
    <row r="1" customFormat="false" ht="18" hidden="false" customHeight="true" outlineLevel="0" collapsed="false">
      <c r="A1" s="175" t="s">
        <v>270</v>
      </c>
      <c r="B1" s="175" t="s">
        <v>1</v>
      </c>
      <c r="C1" s="175" t="s">
        <v>2</v>
      </c>
      <c r="D1" s="175" t="s">
        <v>3</v>
      </c>
      <c r="E1" s="176" t="s">
        <v>271</v>
      </c>
      <c r="F1" s="176" t="s">
        <v>255</v>
      </c>
      <c r="G1" s="176" t="s">
        <v>272</v>
      </c>
    </row>
    <row r="2" customFormat="false" ht="18" hidden="false" customHeight="true" outlineLevel="0" collapsed="false">
      <c r="A2" s="177" t="n">
        <f aca="false">INDEX(Scoring!$A$17:$A$38,MATCH(B2,Scoring!$B$17:$B$38,0))</f>
        <v>1</v>
      </c>
      <c r="B2" s="178" t="s">
        <v>73</v>
      </c>
      <c r="C2" s="179" t="s">
        <v>74</v>
      </c>
      <c r="D2" s="12" t="s">
        <v>75</v>
      </c>
      <c r="E2" s="180" t="s">
        <v>186</v>
      </c>
      <c r="F2" s="181" t="s">
        <v>188</v>
      </c>
      <c r="G2" s="182" t="s">
        <v>273</v>
      </c>
    </row>
    <row r="3" customFormat="false" ht="18" hidden="false" customHeight="true" outlineLevel="0" collapsed="false">
      <c r="A3" s="177" t="n">
        <f aca="false">INDEX(Scoring!$A$17:$A$38,MATCH(B3,Scoring!$B$17:$B$38,0))</f>
        <v>2</v>
      </c>
      <c r="B3" s="178" t="s">
        <v>83</v>
      </c>
      <c r="C3" s="179" t="s">
        <v>84</v>
      </c>
      <c r="D3" s="12" t="s">
        <v>75</v>
      </c>
      <c r="E3" s="180" t="s">
        <v>186</v>
      </c>
      <c r="F3" s="181" t="s">
        <v>188</v>
      </c>
      <c r="G3" s="182" t="s">
        <v>273</v>
      </c>
    </row>
    <row r="4" customFormat="false" ht="18" hidden="false" customHeight="true" outlineLevel="0" collapsed="false">
      <c r="A4" s="177" t="n">
        <f aca="false">INDEX(Scoring!$A$17:$A$38,MATCH(B4,Scoring!$B$17:$B$38,0))</f>
        <v>3</v>
      </c>
      <c r="B4" s="183" t="s">
        <v>85</v>
      </c>
      <c r="C4" s="179" t="s">
        <v>86</v>
      </c>
      <c r="D4" s="12" t="s">
        <v>75</v>
      </c>
      <c r="E4" s="180" t="s">
        <v>186</v>
      </c>
      <c r="F4" s="181" t="s">
        <v>188</v>
      </c>
      <c r="G4" s="184" t="s">
        <v>274</v>
      </c>
    </row>
    <row r="5" customFormat="false" ht="18" hidden="false" customHeight="true" outlineLevel="0" collapsed="false">
      <c r="A5" s="177" t="n">
        <f aca="false">INDEX(Scoring!$A$17:$A$38,MATCH(B5,Scoring!$B$17:$B$38,0))</f>
        <v>4</v>
      </c>
      <c r="B5" s="178" t="s">
        <v>89</v>
      </c>
      <c r="C5" s="179" t="s">
        <v>90</v>
      </c>
      <c r="D5" s="12" t="s">
        <v>75</v>
      </c>
      <c r="E5" s="185" t="s">
        <v>200</v>
      </c>
      <c r="F5" s="181" t="s">
        <v>188</v>
      </c>
      <c r="G5" s="182" t="s">
        <v>275</v>
      </c>
    </row>
    <row r="6" customFormat="false" ht="18" hidden="false" customHeight="true" outlineLevel="0" collapsed="false">
      <c r="A6" s="177" t="n">
        <f aca="false">INDEX(Scoring!$A$17:$A$38,MATCH(B6,Scoring!$B$17:$B$38,0))</f>
        <v>5</v>
      </c>
      <c r="B6" s="183" t="s">
        <v>105</v>
      </c>
      <c r="C6" s="179" t="s">
        <v>106</v>
      </c>
      <c r="D6" s="12" t="s">
        <v>107</v>
      </c>
      <c r="E6" s="180" t="s">
        <v>186</v>
      </c>
      <c r="F6" s="181" t="s">
        <v>208</v>
      </c>
      <c r="G6" s="184" t="s">
        <v>275</v>
      </c>
    </row>
    <row r="7" s="189" customFormat="true" ht="18" hidden="false" customHeight="true" outlineLevel="0" collapsed="false">
      <c r="A7" s="177" t="n">
        <f aca="false">INDEX(Scoring!$A$17:$A$38,MATCH(B7,Scoring!$B$17:$B$38,0))</f>
        <v>6</v>
      </c>
      <c r="B7" s="186" t="s">
        <v>91</v>
      </c>
      <c r="C7" s="187" t="s">
        <v>92</v>
      </c>
      <c r="D7" s="22" t="s">
        <v>75</v>
      </c>
      <c r="E7" s="180" t="s">
        <v>186</v>
      </c>
      <c r="F7" s="188" t="s">
        <v>188</v>
      </c>
      <c r="G7" s="182" t="s">
        <v>276</v>
      </c>
    </row>
    <row r="8" customFormat="false" ht="18" hidden="false" customHeight="true" outlineLevel="0" collapsed="false">
      <c r="A8" s="177" t="n">
        <f aca="false">INDEX(Scoring!$A$17:$A$38,MATCH(B8,Scoring!$B$17:$B$38,0))</f>
        <v>6</v>
      </c>
      <c r="B8" s="190" t="s">
        <v>109</v>
      </c>
      <c r="C8" s="191" t="s">
        <v>110</v>
      </c>
      <c r="D8" s="191" t="s">
        <v>107</v>
      </c>
      <c r="E8" s="180" t="s">
        <v>186</v>
      </c>
      <c r="F8" s="181" t="s">
        <v>208</v>
      </c>
      <c r="G8" s="182" t="s">
        <v>275</v>
      </c>
    </row>
    <row r="9" customFormat="false" ht="18" hidden="false" customHeight="true" outlineLevel="0" collapsed="false">
      <c r="A9" s="177" t="n">
        <f aca="false">INDEX(Scoring!$A$17:$A$38,MATCH(B9,Scoring!$B$17:$B$38,0))</f>
        <v>6</v>
      </c>
      <c r="B9" s="186" t="s">
        <v>131</v>
      </c>
      <c r="C9" s="187" t="s">
        <v>132</v>
      </c>
      <c r="D9" s="22" t="s">
        <v>129</v>
      </c>
      <c r="E9" s="180" t="s">
        <v>186</v>
      </c>
      <c r="F9" s="188" t="s">
        <v>188</v>
      </c>
      <c r="G9" s="182" t="s">
        <v>273</v>
      </c>
    </row>
    <row r="10" customFormat="false" ht="18" hidden="false" customHeight="true" outlineLevel="0" collapsed="false">
      <c r="A10" s="177" t="n">
        <f aca="false">INDEX(Scoring!$A$17:$A$38,MATCH(B10,Scoring!$B$17:$B$38,0))</f>
        <v>6</v>
      </c>
      <c r="B10" s="190" t="s">
        <v>113</v>
      </c>
      <c r="C10" s="191" t="s">
        <v>114</v>
      </c>
      <c r="D10" s="191" t="s">
        <v>115</v>
      </c>
      <c r="E10" s="180" t="s">
        <v>211</v>
      </c>
      <c r="F10" s="181" t="s">
        <v>188</v>
      </c>
      <c r="G10" s="182" t="s">
        <v>275</v>
      </c>
    </row>
    <row r="11" customFormat="false" ht="18" hidden="false" customHeight="true" outlineLevel="0" collapsed="false">
      <c r="A11" s="177" t="n">
        <f aca="false">INDEX(Scoring!$A$17:$A$38,MATCH(B11,Scoring!$B$17:$B$38,0))</f>
        <v>10</v>
      </c>
      <c r="B11" s="190" t="s">
        <v>133</v>
      </c>
      <c r="C11" s="191" t="s">
        <v>134</v>
      </c>
      <c r="D11" s="191" t="s">
        <v>129</v>
      </c>
      <c r="E11" s="180" t="s">
        <v>186</v>
      </c>
      <c r="F11" s="181" t="s">
        <v>188</v>
      </c>
      <c r="G11" s="182" t="s">
        <v>275</v>
      </c>
    </row>
    <row r="12" customFormat="false" ht="18" hidden="false" customHeight="true" outlineLevel="0" collapsed="false">
      <c r="A12" s="177" t="n">
        <f aca="false">INDEX(Scoring!$A$17:$A$38,MATCH(B12,Scoring!$B$17:$B$38,0))</f>
        <v>10</v>
      </c>
      <c r="B12" s="192" t="s">
        <v>119</v>
      </c>
      <c r="C12" s="193" t="s">
        <v>120</v>
      </c>
      <c r="D12" s="193" t="s">
        <v>121</v>
      </c>
      <c r="E12" s="185" t="s">
        <v>186</v>
      </c>
      <c r="F12" s="181" t="s">
        <v>188</v>
      </c>
      <c r="G12" s="182" t="s">
        <v>275</v>
      </c>
    </row>
    <row r="13" customFormat="false" ht="18" hidden="false" customHeight="true" outlineLevel="0" collapsed="false">
      <c r="A13" s="177" t="n">
        <f aca="false">INDEX(Scoring!$A$17:$A$38,MATCH(B13,Scoring!$B$17:$B$38,0))</f>
        <v>12</v>
      </c>
      <c r="B13" s="194" t="s">
        <v>135</v>
      </c>
      <c r="C13" s="195" t="s">
        <v>136</v>
      </c>
      <c r="D13" s="36" t="s">
        <v>129</v>
      </c>
      <c r="E13" s="180" t="s">
        <v>186</v>
      </c>
      <c r="F13" s="181" t="s">
        <v>188</v>
      </c>
      <c r="G13" s="182" t="s">
        <v>275</v>
      </c>
    </row>
    <row r="14" customFormat="false" ht="18" hidden="false" customHeight="true" outlineLevel="0" collapsed="false">
      <c r="A14" s="177" t="n">
        <f aca="false">INDEX(Scoring!$A$17:$A$38,MATCH(B14,Scoring!$B$17:$B$38,0))</f>
        <v>12</v>
      </c>
      <c r="B14" s="190" t="s">
        <v>139</v>
      </c>
      <c r="C14" s="191" t="s">
        <v>140</v>
      </c>
      <c r="D14" s="191" t="s">
        <v>129</v>
      </c>
      <c r="E14" s="180" t="s">
        <v>186</v>
      </c>
      <c r="F14" s="181" t="s">
        <v>188</v>
      </c>
      <c r="G14" s="182" t="s">
        <v>275</v>
      </c>
    </row>
    <row r="15" customFormat="false" ht="18" hidden="false" customHeight="true" outlineLevel="0" collapsed="false">
      <c r="A15" s="177" t="n">
        <f aca="false">INDEX(Scoring!$A$17:$A$38,MATCH(B15,Scoring!$B$17:$B$38,0))</f>
        <v>14</v>
      </c>
      <c r="B15" s="190" t="s">
        <v>101</v>
      </c>
      <c r="C15" s="191" t="s">
        <v>102</v>
      </c>
      <c r="D15" s="191" t="s">
        <v>75</v>
      </c>
      <c r="E15" s="180" t="s">
        <v>186</v>
      </c>
      <c r="F15" s="181" t="s">
        <v>188</v>
      </c>
      <c r="G15" s="182" t="s">
        <v>274</v>
      </c>
    </row>
    <row r="16" customFormat="false" ht="18" hidden="false" customHeight="true" outlineLevel="0" collapsed="false">
      <c r="A16" s="177" t="n">
        <f aca="false">INDEX(Scoring!$A$17:$A$38,MATCH(B16,Scoring!$B$17:$B$38,0))</f>
        <v>14</v>
      </c>
      <c r="B16" s="183" t="s">
        <v>111</v>
      </c>
      <c r="C16" s="196" t="s">
        <v>112</v>
      </c>
      <c r="D16" s="12" t="s">
        <v>107</v>
      </c>
      <c r="E16" s="180" t="s">
        <v>186</v>
      </c>
      <c r="F16" s="181" t="s">
        <v>208</v>
      </c>
      <c r="G16" s="184" t="s">
        <v>277</v>
      </c>
    </row>
    <row r="17" customFormat="false" ht="18" hidden="false" customHeight="true" outlineLevel="0" collapsed="false">
      <c r="A17" s="177" t="n">
        <f aca="false">INDEX(Scoring!$A$17:$A$38,MATCH(B17,Scoring!$B$17:$B$38,0))</f>
        <v>14</v>
      </c>
      <c r="B17" s="197" t="s">
        <v>123</v>
      </c>
      <c r="C17" s="187" t="s">
        <v>124</v>
      </c>
      <c r="D17" s="22" t="s">
        <v>121</v>
      </c>
      <c r="E17" s="180" t="s">
        <v>186</v>
      </c>
      <c r="F17" s="188" t="s">
        <v>188</v>
      </c>
      <c r="G17" s="184" t="s">
        <v>275</v>
      </c>
    </row>
    <row r="18" customFormat="false" ht="18" hidden="false" customHeight="true" outlineLevel="0" collapsed="false">
      <c r="A18" s="177" t="n">
        <f aca="false">INDEX(Scoring!$A$17:$A$38,MATCH(B18,Scoring!$B$17:$B$38,0))</f>
        <v>17</v>
      </c>
      <c r="B18" s="194" t="s">
        <v>137</v>
      </c>
      <c r="C18" s="195" t="s">
        <v>138</v>
      </c>
      <c r="D18" s="36" t="s">
        <v>129</v>
      </c>
      <c r="E18" s="180" t="s">
        <v>186</v>
      </c>
      <c r="F18" s="181" t="s">
        <v>188</v>
      </c>
      <c r="G18" s="182" t="s">
        <v>275</v>
      </c>
    </row>
    <row r="19" customFormat="false" ht="18" hidden="false" customHeight="true" outlineLevel="0" collapsed="false">
      <c r="A19" s="177" t="n">
        <f aca="false">INDEX(Scoring!$A$17:$A$38,MATCH(B19,Scoring!$B$17:$B$38,0))</f>
        <v>18</v>
      </c>
      <c r="B19" s="190" t="s">
        <v>127</v>
      </c>
      <c r="C19" s="191" t="s">
        <v>128</v>
      </c>
      <c r="D19" s="191" t="s">
        <v>129</v>
      </c>
      <c r="E19" s="180" t="s">
        <v>186</v>
      </c>
      <c r="F19" s="181" t="s">
        <v>188</v>
      </c>
      <c r="G19" s="182" t="s">
        <v>273</v>
      </c>
    </row>
    <row r="20" customFormat="false" ht="18" hidden="false" customHeight="true" outlineLevel="0" collapsed="false">
      <c r="A20" s="177" t="n">
        <f aca="false">INDEX(Scoring!$A$17:$A$38,MATCH(B20,Scoring!$B$17:$B$38,0))</f>
        <v>19</v>
      </c>
      <c r="B20" s="192" t="s">
        <v>125</v>
      </c>
      <c r="C20" s="193" t="s">
        <v>126</v>
      </c>
      <c r="D20" s="193" t="s">
        <v>121</v>
      </c>
      <c r="E20" s="185" t="s">
        <v>217</v>
      </c>
      <c r="F20" s="181" t="s">
        <v>188</v>
      </c>
      <c r="G20" s="182" t="s">
        <v>276</v>
      </c>
    </row>
    <row r="21" customFormat="false" ht="18" hidden="false" customHeight="true" outlineLevel="0" collapsed="false">
      <c r="A21" s="177" t="n">
        <f aca="false">INDEX(Scoring!$A$17:$A$38,MATCH(B21,Scoring!$B$17:$B$38,0))</f>
        <v>19</v>
      </c>
      <c r="B21" s="198" t="s">
        <v>103</v>
      </c>
      <c r="C21" s="195" t="s">
        <v>104</v>
      </c>
      <c r="D21" s="36" t="s">
        <v>75</v>
      </c>
      <c r="E21" s="185" t="s">
        <v>186</v>
      </c>
      <c r="F21" s="181" t="s">
        <v>188</v>
      </c>
      <c r="G21" s="184" t="s">
        <v>275</v>
      </c>
    </row>
    <row r="22" customFormat="false" ht="18" hidden="false" customHeight="true" outlineLevel="0" collapsed="false">
      <c r="A22" s="177" t="n">
        <f aca="false">INDEX(Scoring!$A$17:$A$38,MATCH(B22,Scoring!$B$17:$B$38,0))</f>
        <v>21</v>
      </c>
      <c r="B22" s="178" t="s">
        <v>117</v>
      </c>
      <c r="C22" s="196" t="s">
        <v>118</v>
      </c>
      <c r="D22" s="12" t="s">
        <v>115</v>
      </c>
      <c r="E22" s="180" t="s">
        <v>211</v>
      </c>
      <c r="F22" s="181" t="s">
        <v>188</v>
      </c>
      <c r="G22" s="182" t="s">
        <v>275</v>
      </c>
    </row>
    <row r="23" customFormat="false" ht="18" hidden="false" customHeight="true" outlineLevel="0" collapsed="false">
      <c r="A23" s="177" t="n">
        <f aca="false">INDEX(Scoring!$A$17:$A$38,MATCH(B23,Scoring!$B$17:$B$38,0))</f>
        <v>22</v>
      </c>
      <c r="B23" s="199" t="s">
        <v>149</v>
      </c>
      <c r="C23" s="165" t="s">
        <v>149</v>
      </c>
      <c r="D23" s="165" t="s">
        <v>150</v>
      </c>
      <c r="E23" s="185" t="s">
        <v>227</v>
      </c>
      <c r="F23" s="181" t="s">
        <v>188</v>
      </c>
      <c r="G23" s="182" t="s">
        <v>275</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2026-04-23T10:32:39Z</dcterms:created>
  <dc:creator>openpyxl</dc:creator>
  <dc:description/>
  <dc:language>en-US</dc:language>
  <cp:lastModifiedBy>Trinca, Flaminia (STUDENTS)</cp:lastModifiedBy>
  <dcterms:modified xsi:type="dcterms:W3CDTF">2026-08-25T09:42:31Z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